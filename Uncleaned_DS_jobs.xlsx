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C4AB799AAD29BC04/NT Data Analytika/Excel/excel mashq/"/>
    </mc:Choice>
  </mc:AlternateContent>
  <xr:revisionPtr revIDLastSave="0" documentId="14_{18A6A2A5-BBF0-4B94-9DD9-B1C97C9A86E2}" xr6:coauthVersionLast="47" xr6:coauthVersionMax="47" xr10:uidLastSave="{00000000-0000-0000-0000-000000000000}"/>
  <bookViews>
    <workbookView xWindow="0" yWindow="0" windowWidth="23040" windowHeight="13680" activeTab="3" xr2:uid="{0A4FBBBC-5502-4A2E-A151-729B6FC6E9FC}"/>
  </bookViews>
  <sheets>
    <sheet name="Uncleaned_DS_jobs" sheetId="1" r:id="rId1"/>
    <sheet name="Cleaned_DS_jobs" sheetId="3" r:id="rId2"/>
    <sheet name="Pivot _tables" sheetId="13" r:id="rId3"/>
    <sheet name="Dashboard" sheetId="14" r:id="rId4"/>
  </sheets>
  <definedNames>
    <definedName name="_xlnm._FilterDatabase" localSheetId="1" hidden="1">Cleaned_DS_jobs!$A$1:$Q$673</definedName>
    <definedName name="Slicer_Grouped_age">#N/A</definedName>
    <definedName name="Slicer_Sector">#N/A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3" l="1"/>
  <c r="R8" i="3"/>
  <c r="R9" i="3"/>
  <c r="R10" i="3"/>
  <c r="R11" i="3"/>
  <c r="R12" i="3"/>
  <c r="R13" i="3"/>
  <c r="R20" i="3"/>
  <c r="R23" i="3"/>
  <c r="R24" i="3"/>
  <c r="R25" i="3"/>
  <c r="R43" i="3"/>
  <c r="R45" i="3"/>
  <c r="R46" i="3"/>
  <c r="R47" i="3"/>
  <c r="R48" i="3"/>
  <c r="R49" i="3"/>
  <c r="R56" i="3"/>
  <c r="R57" i="3"/>
  <c r="R58" i="3"/>
  <c r="R59" i="3"/>
  <c r="R60" i="3"/>
  <c r="R61" i="3"/>
  <c r="R68" i="3"/>
  <c r="R71" i="3"/>
  <c r="R72" i="3"/>
  <c r="R73" i="3"/>
  <c r="R91" i="3"/>
  <c r="R93" i="3"/>
  <c r="R94" i="3"/>
  <c r="R95" i="3"/>
  <c r="R96" i="3"/>
  <c r="R97" i="3"/>
  <c r="R104" i="3"/>
  <c r="R105" i="3"/>
  <c r="R106" i="3"/>
  <c r="R107" i="3"/>
  <c r="R108" i="3"/>
  <c r="R109" i="3"/>
  <c r="R116" i="3"/>
  <c r="R119" i="3"/>
  <c r="R120" i="3"/>
  <c r="R121" i="3"/>
  <c r="R139" i="3"/>
  <c r="R141" i="3"/>
  <c r="R142" i="3"/>
  <c r="R143" i="3"/>
  <c r="R144" i="3"/>
  <c r="R145" i="3"/>
  <c r="R152" i="3"/>
  <c r="R153" i="3"/>
  <c r="R154" i="3"/>
  <c r="R155" i="3"/>
  <c r="R156" i="3"/>
  <c r="R157" i="3"/>
  <c r="R164" i="3"/>
  <c r="R167" i="3"/>
  <c r="R168" i="3"/>
  <c r="R169" i="3"/>
  <c r="R187" i="3"/>
  <c r="R188" i="3"/>
  <c r="R189" i="3"/>
  <c r="R190" i="3"/>
  <c r="R191" i="3"/>
  <c r="R192" i="3"/>
  <c r="R193" i="3"/>
  <c r="R200" i="3"/>
  <c r="R202" i="3"/>
  <c r="R203" i="3"/>
  <c r="R204" i="3"/>
  <c r="R205" i="3"/>
  <c r="R223" i="3"/>
  <c r="R224" i="3"/>
  <c r="R225" i="3"/>
  <c r="R226" i="3"/>
  <c r="R227" i="3"/>
  <c r="R228" i="3"/>
  <c r="R229" i="3"/>
  <c r="R236" i="3"/>
  <c r="R238" i="3"/>
  <c r="R239" i="3"/>
  <c r="R240" i="3"/>
  <c r="R241" i="3"/>
  <c r="R259" i="3"/>
  <c r="R260" i="3"/>
  <c r="R261" i="3"/>
  <c r="R262" i="3"/>
  <c r="R263" i="3"/>
  <c r="R264" i="3"/>
  <c r="R265" i="3"/>
  <c r="R266" i="3"/>
  <c r="R272" i="3"/>
  <c r="R274" i="3"/>
  <c r="R275" i="3"/>
  <c r="R276" i="3"/>
  <c r="R277" i="3"/>
  <c r="R295" i="3"/>
  <c r="R296" i="3"/>
  <c r="R297" i="3"/>
  <c r="R298" i="3"/>
  <c r="R299" i="3"/>
  <c r="R300" i="3"/>
  <c r="R301" i="3"/>
  <c r="R302" i="3"/>
  <c r="R308" i="3"/>
  <c r="R310" i="3"/>
  <c r="R311" i="3"/>
  <c r="R312" i="3"/>
  <c r="R313" i="3"/>
  <c r="R331" i="3"/>
  <c r="R332" i="3"/>
  <c r="R333" i="3"/>
  <c r="R334" i="3"/>
  <c r="R335" i="3"/>
  <c r="R336" i="3"/>
  <c r="R337" i="3"/>
  <c r="R338" i="3"/>
  <c r="R344" i="3"/>
  <c r="R346" i="3"/>
  <c r="R347" i="3"/>
  <c r="R348" i="3"/>
  <c r="R349" i="3"/>
  <c r="R367" i="3"/>
  <c r="R368" i="3"/>
  <c r="R369" i="3"/>
  <c r="R370" i="3"/>
  <c r="R371" i="3"/>
  <c r="R372" i="3"/>
  <c r="R373" i="3"/>
  <c r="R374" i="3"/>
  <c r="R380" i="3"/>
  <c r="R382" i="3"/>
  <c r="R383" i="3"/>
  <c r="R384" i="3"/>
  <c r="R385" i="3"/>
  <c r="R403" i="3"/>
  <c r="R404" i="3"/>
  <c r="R405" i="3"/>
  <c r="R406" i="3"/>
  <c r="R407" i="3"/>
  <c r="R408" i="3"/>
  <c r="R409" i="3"/>
  <c r="R410" i="3"/>
  <c r="R416" i="3"/>
  <c r="R418" i="3"/>
  <c r="R419" i="3"/>
  <c r="R420" i="3"/>
  <c r="R421" i="3"/>
  <c r="R439" i="3"/>
  <c r="R440" i="3"/>
  <c r="R441" i="3"/>
  <c r="R442" i="3"/>
  <c r="R443" i="3"/>
  <c r="R444" i="3"/>
  <c r="R445" i="3"/>
  <c r="R446" i="3"/>
  <c r="R452" i="3"/>
  <c r="R454" i="3"/>
  <c r="R455" i="3"/>
  <c r="R456" i="3"/>
  <c r="R457" i="3"/>
  <c r="R475" i="3"/>
  <c r="R476" i="3"/>
  <c r="R477" i="3"/>
  <c r="R478" i="3"/>
  <c r="R479" i="3"/>
  <c r="R480" i="3"/>
  <c r="R481" i="3"/>
  <c r="R482" i="3"/>
  <c r="R488" i="3"/>
  <c r="R490" i="3"/>
  <c r="R491" i="3"/>
  <c r="R492" i="3"/>
  <c r="R493" i="3"/>
  <c r="R505" i="3"/>
  <c r="R511" i="3"/>
  <c r="R512" i="3"/>
  <c r="R513" i="3"/>
  <c r="R514" i="3"/>
  <c r="R515" i="3"/>
  <c r="R516" i="3"/>
  <c r="R517" i="3"/>
  <c r="R518" i="3"/>
  <c r="R524" i="3"/>
  <c r="R527" i="3"/>
  <c r="R528" i="3"/>
  <c r="R529" i="3"/>
  <c r="R537" i="3"/>
  <c r="R538" i="3"/>
  <c r="R539" i="3"/>
  <c r="R540" i="3"/>
  <c r="R541" i="3"/>
  <c r="R547" i="3"/>
  <c r="R548" i="3"/>
  <c r="R549" i="3"/>
  <c r="R550" i="3"/>
  <c r="R551" i="3"/>
  <c r="R552" i="3"/>
  <c r="R553" i="3"/>
  <c r="R554" i="3"/>
  <c r="R560" i="3"/>
  <c r="R563" i="3"/>
  <c r="R564" i="3"/>
  <c r="R565" i="3"/>
  <c r="R573" i="3"/>
  <c r="R574" i="3"/>
  <c r="R575" i="3"/>
  <c r="R576" i="3"/>
  <c r="R577" i="3"/>
  <c r="R583" i="3"/>
  <c r="R584" i="3"/>
  <c r="R585" i="3"/>
  <c r="R586" i="3"/>
  <c r="R587" i="3"/>
  <c r="R588" i="3"/>
  <c r="R589" i="3"/>
  <c r="R590" i="3"/>
  <c r="R596" i="3"/>
  <c r="R599" i="3"/>
  <c r="R600" i="3"/>
  <c r="R601" i="3"/>
  <c r="R609" i="3"/>
  <c r="R610" i="3"/>
  <c r="R611" i="3"/>
  <c r="R612" i="3"/>
  <c r="R613" i="3"/>
  <c r="R619" i="3"/>
  <c r="R620" i="3"/>
  <c r="R621" i="3"/>
  <c r="R622" i="3"/>
  <c r="R623" i="3"/>
  <c r="R624" i="3"/>
  <c r="R625" i="3"/>
  <c r="R626" i="3"/>
  <c r="R632" i="3"/>
  <c r="R635" i="3"/>
  <c r="R636" i="3"/>
  <c r="R637" i="3"/>
  <c r="R645" i="3"/>
  <c r="R646" i="3"/>
  <c r="R647" i="3"/>
  <c r="R648" i="3"/>
  <c r="R649" i="3"/>
  <c r="R656" i="3"/>
  <c r="R657" i="3"/>
  <c r="R658" i="3"/>
  <c r="R659" i="3"/>
  <c r="R660" i="3"/>
  <c r="R661" i="3"/>
  <c r="R662" i="3"/>
  <c r="R673" i="3"/>
  <c r="R14" i="3"/>
  <c r="R15" i="3"/>
  <c r="R16" i="3"/>
  <c r="R27" i="3"/>
  <c r="R28" i="3"/>
  <c r="R32" i="3"/>
  <c r="R39" i="3"/>
  <c r="R40" i="3"/>
  <c r="R44" i="3"/>
  <c r="R51" i="3"/>
  <c r="R52" i="3"/>
  <c r="R63" i="3"/>
  <c r="R64" i="3"/>
  <c r="R75" i="3"/>
  <c r="R76" i="3"/>
  <c r="R80" i="3"/>
  <c r="R87" i="3"/>
  <c r="R88" i="3"/>
  <c r="R92" i="3"/>
  <c r="R99" i="3"/>
  <c r="R100" i="3"/>
  <c r="R111" i="3"/>
  <c r="R112" i="3"/>
  <c r="R123" i="3"/>
  <c r="R124" i="3"/>
  <c r="R128" i="3"/>
  <c r="R135" i="3"/>
  <c r="R136" i="3"/>
  <c r="R140" i="3"/>
  <c r="R147" i="3"/>
  <c r="R148" i="3"/>
  <c r="R159" i="3"/>
  <c r="R160" i="3"/>
  <c r="R171" i="3"/>
  <c r="R172" i="3"/>
  <c r="R176" i="3"/>
  <c r="R182" i="3"/>
  <c r="R183" i="3"/>
  <c r="R184" i="3"/>
  <c r="R194" i="3"/>
  <c r="R195" i="3"/>
  <c r="R196" i="3"/>
  <c r="R206" i="3"/>
  <c r="R207" i="3"/>
  <c r="R208" i="3"/>
  <c r="R212" i="3"/>
  <c r="R218" i="3"/>
  <c r="R219" i="3"/>
  <c r="R220" i="3"/>
  <c r="R230" i="3"/>
  <c r="R231" i="3"/>
  <c r="R232" i="3"/>
  <c r="R242" i="3"/>
  <c r="R243" i="3"/>
  <c r="R244" i="3"/>
  <c r="R248" i="3"/>
  <c r="R254" i="3"/>
  <c r="R255" i="3"/>
  <c r="R256" i="3"/>
  <c r="R267" i="3"/>
  <c r="R268" i="3"/>
  <c r="R278" i="3"/>
  <c r="R279" i="3"/>
  <c r="R280" i="3"/>
  <c r="R284" i="3"/>
  <c r="R290" i="3"/>
  <c r="R291" i="3"/>
  <c r="R292" i="3"/>
  <c r="R303" i="3"/>
  <c r="R304" i="3"/>
  <c r="R314" i="3"/>
  <c r="R315" i="3"/>
  <c r="R316" i="3"/>
  <c r="R320" i="3"/>
  <c r="R326" i="3"/>
  <c r="R327" i="3"/>
  <c r="R328" i="3"/>
  <c r="R339" i="3"/>
  <c r="R340" i="3"/>
  <c r="R350" i="3"/>
  <c r="R351" i="3"/>
  <c r="R352" i="3"/>
  <c r="R356" i="3"/>
  <c r="R362" i="3"/>
  <c r="R363" i="3"/>
  <c r="R364" i="3"/>
  <c r="R375" i="3"/>
  <c r="R376" i="3"/>
  <c r="R386" i="3"/>
  <c r="R387" i="3"/>
  <c r="R388" i="3"/>
  <c r="R392" i="3"/>
  <c r="R398" i="3"/>
  <c r="R399" i="3"/>
  <c r="R400" i="3"/>
  <c r="R411" i="3"/>
  <c r="R412" i="3"/>
  <c r="R422" i="3"/>
  <c r="R423" i="3"/>
  <c r="R424" i="3"/>
  <c r="R428" i="3"/>
  <c r="R434" i="3"/>
  <c r="R435" i="3"/>
  <c r="R436" i="3"/>
  <c r="R447" i="3"/>
  <c r="R448" i="3"/>
  <c r="R458" i="3"/>
  <c r="R459" i="3"/>
  <c r="R460" i="3"/>
  <c r="R464" i="3"/>
  <c r="R470" i="3"/>
  <c r="R471" i="3"/>
  <c r="R472" i="3"/>
  <c r="R483" i="3"/>
  <c r="R484" i="3"/>
  <c r="R494" i="3"/>
  <c r="R495" i="3"/>
  <c r="R496" i="3"/>
  <c r="R500" i="3"/>
  <c r="R506" i="3"/>
  <c r="R507" i="3"/>
  <c r="R508" i="3"/>
  <c r="R519" i="3"/>
  <c r="R520" i="3"/>
  <c r="R530" i="3"/>
  <c r="R531" i="3"/>
  <c r="R532" i="3"/>
  <c r="R536" i="3"/>
  <c r="R542" i="3"/>
  <c r="R543" i="3"/>
  <c r="R544" i="3"/>
  <c r="R555" i="3"/>
  <c r="R556" i="3"/>
  <c r="R566" i="3"/>
  <c r="R567" i="3"/>
  <c r="R568" i="3"/>
  <c r="R572" i="3"/>
  <c r="R578" i="3"/>
  <c r="R579" i="3"/>
  <c r="R580" i="3"/>
  <c r="R591" i="3"/>
  <c r="R592" i="3"/>
  <c r="R602" i="3"/>
  <c r="R603" i="3"/>
  <c r="R604" i="3"/>
  <c r="R608" i="3"/>
  <c r="R614" i="3"/>
  <c r="R615" i="3"/>
  <c r="R616" i="3"/>
  <c r="R627" i="3"/>
  <c r="R628" i="3"/>
  <c r="R638" i="3"/>
  <c r="R639" i="3"/>
  <c r="R640" i="3"/>
  <c r="R644" i="3"/>
  <c r="R650" i="3"/>
  <c r="R651" i="3"/>
  <c r="R652" i="3"/>
  <c r="R663" i="3"/>
  <c r="R664" i="3"/>
  <c r="R668" i="3"/>
  <c r="R2" i="3"/>
  <c r="R3" i="3"/>
  <c r="R4" i="3"/>
  <c r="R5" i="3"/>
  <c r="R6" i="3"/>
  <c r="R17" i="3"/>
  <c r="R18" i="3"/>
  <c r="R19" i="3"/>
  <c r="R21" i="3"/>
  <c r="R22" i="3"/>
  <c r="R26" i="3"/>
  <c r="R29" i="3"/>
  <c r="R30" i="3"/>
  <c r="R31" i="3"/>
  <c r="R33" i="3"/>
  <c r="R34" i="3"/>
  <c r="R35" i="3"/>
  <c r="R36" i="3"/>
  <c r="R37" i="3"/>
  <c r="R38" i="3"/>
  <c r="R41" i="3"/>
  <c r="R42" i="3"/>
  <c r="R50" i="3"/>
  <c r="R53" i="3"/>
  <c r="R54" i="3"/>
  <c r="R55" i="3"/>
  <c r="R62" i="3"/>
  <c r="R65" i="3"/>
  <c r="R66" i="3"/>
  <c r="R67" i="3"/>
  <c r="R69" i="3"/>
  <c r="R70" i="3"/>
  <c r="R74" i="3"/>
  <c r="R77" i="3"/>
  <c r="R78" i="3"/>
  <c r="R79" i="3"/>
  <c r="R81" i="3"/>
  <c r="R82" i="3"/>
  <c r="R83" i="3"/>
  <c r="R84" i="3"/>
  <c r="R85" i="3"/>
  <c r="R86" i="3"/>
  <c r="R89" i="3"/>
  <c r="R90" i="3"/>
  <c r="R98" i="3"/>
  <c r="R101" i="3"/>
  <c r="R102" i="3"/>
  <c r="R103" i="3"/>
  <c r="R110" i="3"/>
  <c r="R113" i="3"/>
  <c r="R114" i="3"/>
  <c r="R115" i="3"/>
  <c r="R117" i="3"/>
  <c r="R118" i="3"/>
  <c r="R122" i="3"/>
  <c r="R125" i="3"/>
  <c r="R126" i="3"/>
  <c r="R127" i="3"/>
  <c r="R129" i="3"/>
  <c r="R130" i="3"/>
  <c r="R131" i="3"/>
  <c r="R132" i="3"/>
  <c r="R133" i="3"/>
  <c r="R134" i="3"/>
  <c r="R137" i="3"/>
  <c r="R138" i="3"/>
  <c r="R146" i="3"/>
  <c r="R149" i="3"/>
  <c r="R150" i="3"/>
  <c r="R151" i="3"/>
  <c r="R158" i="3"/>
  <c r="R161" i="3"/>
  <c r="R162" i="3"/>
  <c r="R163" i="3"/>
  <c r="R165" i="3"/>
  <c r="R166" i="3"/>
  <c r="R170" i="3"/>
  <c r="R173" i="3"/>
  <c r="R174" i="3"/>
  <c r="R175" i="3"/>
  <c r="R177" i="3"/>
  <c r="R178" i="3"/>
  <c r="R179" i="3"/>
  <c r="R180" i="3"/>
  <c r="R181" i="3"/>
  <c r="R185" i="3"/>
  <c r="R186" i="3"/>
  <c r="R197" i="3"/>
  <c r="R198" i="3"/>
  <c r="R199" i="3"/>
  <c r="R201" i="3"/>
  <c r="R209" i="3"/>
  <c r="R210" i="3"/>
  <c r="R211" i="3"/>
  <c r="R213" i="3"/>
  <c r="R214" i="3"/>
  <c r="R215" i="3"/>
  <c r="R216" i="3"/>
  <c r="R217" i="3"/>
  <c r="R221" i="3"/>
  <c r="R222" i="3"/>
  <c r="R233" i="3"/>
  <c r="R234" i="3"/>
  <c r="R235" i="3"/>
  <c r="R237" i="3"/>
  <c r="R245" i="3"/>
  <c r="R246" i="3"/>
  <c r="R247" i="3"/>
  <c r="R249" i="3"/>
  <c r="R250" i="3"/>
  <c r="R251" i="3"/>
  <c r="R252" i="3"/>
  <c r="R253" i="3"/>
  <c r="R257" i="3"/>
  <c r="R258" i="3"/>
  <c r="R269" i="3"/>
  <c r="R270" i="3"/>
  <c r="R271" i="3"/>
  <c r="R273" i="3"/>
  <c r="R281" i="3"/>
  <c r="R282" i="3"/>
  <c r="R283" i="3"/>
  <c r="R285" i="3"/>
  <c r="R286" i="3"/>
  <c r="R287" i="3"/>
  <c r="R288" i="3"/>
  <c r="R289" i="3"/>
  <c r="R293" i="3"/>
  <c r="R294" i="3"/>
  <c r="R305" i="3"/>
  <c r="R306" i="3"/>
  <c r="R307" i="3"/>
  <c r="R309" i="3"/>
  <c r="R317" i="3"/>
  <c r="R318" i="3"/>
  <c r="R319" i="3"/>
  <c r="R321" i="3"/>
  <c r="R322" i="3"/>
  <c r="R323" i="3"/>
  <c r="R324" i="3"/>
  <c r="R325" i="3"/>
  <c r="R329" i="3"/>
  <c r="R330" i="3"/>
  <c r="R341" i="3"/>
  <c r="R342" i="3"/>
  <c r="R343" i="3"/>
  <c r="R345" i="3"/>
  <c r="R353" i="3"/>
  <c r="R354" i="3"/>
  <c r="R355" i="3"/>
  <c r="R357" i="3"/>
  <c r="R358" i="3"/>
  <c r="R359" i="3"/>
  <c r="R360" i="3"/>
  <c r="R361" i="3"/>
  <c r="R365" i="3"/>
  <c r="R366" i="3"/>
  <c r="R377" i="3"/>
  <c r="R378" i="3"/>
  <c r="R379" i="3"/>
  <c r="R381" i="3"/>
  <c r="R389" i="3"/>
  <c r="R390" i="3"/>
  <c r="R391" i="3"/>
  <c r="R393" i="3"/>
  <c r="R394" i="3"/>
  <c r="R395" i="3"/>
  <c r="R396" i="3"/>
  <c r="R397" i="3"/>
  <c r="R401" i="3"/>
  <c r="R402" i="3"/>
  <c r="R413" i="3"/>
  <c r="R414" i="3"/>
  <c r="R415" i="3"/>
  <c r="R417" i="3"/>
  <c r="R425" i="3"/>
  <c r="R426" i="3"/>
  <c r="R427" i="3"/>
  <c r="R429" i="3"/>
  <c r="R430" i="3"/>
  <c r="R431" i="3"/>
  <c r="R432" i="3"/>
  <c r="R433" i="3"/>
  <c r="R437" i="3"/>
  <c r="R438" i="3"/>
  <c r="R449" i="3"/>
  <c r="R450" i="3"/>
  <c r="R451" i="3"/>
  <c r="R453" i="3"/>
  <c r="R461" i="3"/>
  <c r="R462" i="3"/>
  <c r="R463" i="3"/>
  <c r="R465" i="3"/>
  <c r="R466" i="3"/>
  <c r="R467" i="3"/>
  <c r="R468" i="3"/>
  <c r="R469" i="3"/>
  <c r="R473" i="3"/>
  <c r="R474" i="3"/>
  <c r="R485" i="3"/>
  <c r="R486" i="3"/>
  <c r="R487" i="3"/>
  <c r="R489" i="3"/>
  <c r="R497" i="3"/>
  <c r="R498" i="3"/>
  <c r="R499" i="3"/>
  <c r="R501" i="3"/>
  <c r="R502" i="3"/>
  <c r="R503" i="3"/>
  <c r="R504" i="3"/>
  <c r="R509" i="3"/>
  <c r="R510" i="3"/>
  <c r="R521" i="3"/>
  <c r="R522" i="3"/>
  <c r="R523" i="3"/>
  <c r="R525" i="3"/>
  <c r="R526" i="3"/>
  <c r="R533" i="3"/>
  <c r="R534" i="3"/>
  <c r="R535" i="3"/>
  <c r="R545" i="3"/>
  <c r="R546" i="3"/>
  <c r="R557" i="3"/>
  <c r="R558" i="3"/>
  <c r="R559" i="3"/>
  <c r="R561" i="3"/>
  <c r="R562" i="3"/>
  <c r="R569" i="3"/>
  <c r="R570" i="3"/>
  <c r="R571" i="3"/>
  <c r="R581" i="3"/>
  <c r="R582" i="3"/>
  <c r="R593" i="3"/>
  <c r="R594" i="3"/>
  <c r="R595" i="3"/>
  <c r="R597" i="3"/>
  <c r="R598" i="3"/>
  <c r="R605" i="3"/>
  <c r="R606" i="3"/>
  <c r="R607" i="3"/>
  <c r="R617" i="3"/>
  <c r="R618" i="3"/>
  <c r="R629" i="3"/>
  <c r="R630" i="3"/>
  <c r="R631" i="3"/>
  <c r="R633" i="3"/>
  <c r="R634" i="3"/>
  <c r="R641" i="3"/>
  <c r="R642" i="3"/>
  <c r="R643" i="3"/>
  <c r="R653" i="3"/>
  <c r="R654" i="3"/>
  <c r="R655" i="3"/>
  <c r="R665" i="3"/>
  <c r="R666" i="3"/>
  <c r="R667" i="3"/>
  <c r="R669" i="3"/>
  <c r="R670" i="3"/>
  <c r="R671" i="3"/>
  <c r="R672" i="3"/>
</calcChain>
</file>

<file path=xl/sharedStrings.xml><?xml version="1.0" encoding="utf-8"?>
<sst xmlns="http://schemas.openxmlformats.org/spreadsheetml/2006/main" count="14247" uniqueCount="2391">
  <si>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</si>
  <si>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</si>
  <si>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</si>
  <si>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</si>
  <si>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</si>
  <si>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</si>
  <si>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</si>
  <si>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</si>
  <si>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</si>
  <si>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</si>
  <si>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</si>
  <si>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</si>
  <si>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</si>
  <si>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</si>
  <si>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</si>
  <si>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</si>
  <si>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</si>
  <si>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вЂў Develops advanced statistical models to predict, quantify or forecast various operational and performance metrics in multiple healthcare domains
вЂў Investigates, recommends, and initiates acquisition of new data resources from internal and external sources
вЂў Works with multiple teams to support data collection, integration, and retention requirements based on business needs
вЂў Identifies critical and emerging technologies that will support and extend quantitative analytic capabilities
вЂў Collaborates with business subject matter experts to select relevant sources of information
вЂў Develops expertise with multiple machine learning algorithms and data science techniques, such as exploratory data analysis and predictive modeling, graph theory, recommender systems, text analytics and validation
вЂў Develops expertise with Healthfirst datasets, data repositories, and data movement processes
вЂў Assists on projects/requests and may lead specific tasks within the project scope
вЂў Prepares and manipulates data for use in development of statistical models
вЂў Other duties as assigned
Minimum Qualifications:
-Bachelor's Degree
Preferred Qualifications:
- MasterвЂ™s degree in Computer Science or Statistics
Familiarity with major cloud platforms such as AWS and Azure
Healthcare Industry Experience
Minimum Qualifications:
-Bachelor's Degree
Preferred Qualifications:
- MasterвЂ™s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</si>
  <si>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</si>
  <si>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</si>
  <si>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</si>
  <si>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</si>
  <si>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</si>
  <si>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</si>
  <si>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</si>
  <si>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</si>
  <si>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</si>
  <si>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</si>
  <si>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</si>
  <si>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</si>
  <si>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</si>
  <si>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</si>
  <si>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</si>
  <si>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</si>
  <si>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</si>
  <si>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</si>
  <si>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DONNГ‰ES
*LвЂ™utilisation du genre masculin sert uniquement Г  allГ©ger le texte et est utilisГ© ici en tant que genre neutre
Survol
Groupe dвЂ™analyse ltГ©e est lвЂ™une des plus grandes firmes de services-conseils en Г©conomie, comptant plus de 950 professionnels rГ©partis dans 14 bureaux en AmГ©rique du Nord, en Europe et en Asie. Depuis 1981, nous offrons notre expertise en matiГЁre de stratГ©gie, dвЂ™Г©conomie, de finance et dвЂ™analyse dans le domaine des soins de santГ© aux grands cabinets dвЂ™avocats, aux sociГ©tГ©s Fortune Global 500 et aux agences gouvernementales du monde entier. Nos professionnels en poste conjuguГ©s Г  notre rГ©seau de spГ©cialistes affiliГ©s issus dвЂ™universitГ©s, dвЂ™industries spГ©cifiques et dвЂ™organismes gouvernementaux procurent Г  notre clientГЁle un savoir-faire dвЂ™une portГ©e et dвЂ™une profondeur exceptionnelles.
Nous sommes prГ©sentement Г  la recherche d'un Scientifique des donnГ©es (В« Data Scientist В») pour se joindre Г  notre Г©quipe. Le candidat idГ©al devrait ГЄtre passionnГ© par la recherche de pointe et les services analytiques pour les entreprises Fortune 500, les entreprises pharmaceutiques et biotechnologiques mondiales et les chefs de file dans des secteurs de la finance, l'Г©nergie et les sciences de la vie. Le Scientifique des donnГ©es sera un membre contributeur aux mandats des clients et aura l'occasion de travailler avec notre rГ©seau d'experts et de leaders d'opinion de classe mondiale.
Description du poste et des responsabilitГ©s
Le scientifique des donnГ©es aidera Г  dГ©velopper, maintenir et enseigner de nouveaux outils et mГ©thodologies liГ©s Г  la science des donnГ©es (В« Data Science В») et au HPC. Ce poste aidera Г©galement le Groupe d'analyse Г  maintenir sa position de chef de file en ce qui a trait Г  l'avancement de la mГ©thodologie et de l'analyse des donnГ©es. Le scientifique des donnГ©es sera chargГ© de se tenir au courant des nouveaux dГ©veloppements technologiques liГ©s Г  la science des donnГ©es, afin de les partager plus largement avec le Groupe d'analyse.
Les principales responsabilitГ©s de ce poste comprendront:
- Collaborer avec les consultants pour relever les dГ©fis de la science des donnГ©es et de sciences informatiques
- Agir Г  titre de ressource et participer aux mandats et Г  la recherche en tant que membre de l'Г©quipe de projet
- Maintenir Г  jour les connaissances sur les outils informatiques, fournir une formation technique et aider Г  dГ©velopper la base de connaissances interne, notamment dans un environnement Linux
- PrГ©senter la recherche Г  des confГ©rences choisies
Exemples de tГўches du scientifique des donnГ©es :
- DГ©veloppement de systГЁmes de production en ingГ©nierie des donnГ©es ainsi quвЂ™en apprentissage machine pour des projets de science des donnГ©es full stack
- Utiliser des mГ©thodologies NLP pour travailler avec les donnГ©es mГ©dicales Г©lectroniques, les donnГ©es des mГ©dias sociaux et d'autres donnГ©es non structures
- Optimiser les procГ©dures de gestion et d'accГЁs aux grandes bases de donnГ©es (ex. rГ©clamations d'assurance, dossiers de santГ© Г©lectroniques, transactions financiГЁres)
- CrГ©ation de portails d'analyse interactifs et de visualisations de donnГ©es (par exemple, en utilisant R/Shiny, Python/Flask, D3)
- Construire et maintenir des outils de calcul de haute performance (HPC).
- DГ©veloppement et rГ©vision de codes en R, Python et autres langages
- Mise en place de procГ©dures optimisГ©es pour les tГўches rГ©pГ©titives ou intensives en calcul (C, C++, Cuda-C)
Qualifications requises
- Solides rГ©fГ©rences et expГ©rience dans la gestion de bases de donnГ©es et de la visualisation de donnГ©es
- ExpГ©rience de travail significative dans un environnement Linux requise
- ExpГ©rience antГ©rieure en statistique/Г©conomГ©trie ou bio-statistique
- IdГ©alement, ГЄtre titulaire d'un doctorat en sciences informatiques, en mathГ©matiques, en statistique, en Г©conomie ou d'un autre diplГґme scientifique pertinent et possГ©der une expГ©rience pertinente. Les candidats ayant au moins un an d'expГ©rience dans le domaine peuvent Г©galement ГЄtre considГ©rГ©s.
- Excellentes aptitudes de communication Г©crite et verbale
- ExpГ©rience de projet avec R et/ou Python
- FamiliaritГ© avec l'informatique en ligne/info nuagique et le stockage (AWS)
- ExpГ©rience de travail dГ©montrГ©e au sein d'Г©quipes de projet et de collaboration avec d'autres personnes
В­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</si>
  <si>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</si>
  <si>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</si>
  <si>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</si>
  <si>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</si>
  <si>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</si>
  <si>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</si>
  <si>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</si>
  <si>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</si>
  <si>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</si>
  <si>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</si>
  <si>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</si>
  <si>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</si>
  <si>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</si>
  <si>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В· Support all clients model building needs, including maintaining and improving current modeling/scoring methodology and processes,
В· Provide innovative solutions to customized modeling/scoring/targeting with appropriate ML/statistical tools,
В· Provide analytical/statistical support such as marketing test design, projection, campaign measurement, market insights to clients and stakeholders.
В· Mine large consumer datasets in the cloud environment to support ad hoc business and statistical analysis,
В· Develop and Improve automation capabilities to enable customized delivery of the analytical products to clients,
В· Communicate the methodologies and the results to the management, clients and none technical stakeholders.
Basic Qualifications
В· Advanced degree in Statistics/Mathematics/Computer Science/Economics or other fields that requires advanced training in data analytics.
В· Being able to apply basic statistical/ML concepts and reasoning to address and solve business problems such as targeting, test design, KPI projection and performance measurement.
В· Entrepreneurial, highly self-motivated, collaborative, keen attention to detail, willingness and capable learn quickly, and ability to effectively prioritize and execute tasks in a high pressure environment.
В· Being flexible to accept different task assignments and able to work on a tight time schedule.
В· Excellent command of one or more programming languages; preferably Python, SAS or R
В· Familiar with one of the database technologies such as PostgreSQL, MySQL, can write basic SQL queries
В· Great communication skills (verbal, written and presentation)
Preferred Qualifications
В· Experience or exposure to large consumer and/or demographic data sets.
В·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</si>
  <si>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</si>
  <si>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</si>
  <si>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</si>
  <si>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</si>
  <si>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</si>
  <si>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</si>
  <si>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</si>
  <si>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</si>
  <si>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</si>
  <si>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</si>
  <si>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</si>
  <si>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worldвЂ™s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вЂўDevelop and implement methods for extracting patterns and correlations from both internal and external data sources using machine learning toolkits
вЂўDevelop workflows for conducting comparative analysis among NovartisвЂ™ diverse data sources as well as generalizing approaches developed in-house or externally.
вЂўEnable open-source solutions for internal use and implement cutting-edge published scientific methods.
вЂўDevelop customized machine learning solutions including data querying and knowledge extraction.
вЂўInteract and be part of interdisciplinary project teams to drive effective decision-making by mining and developing predictive models
вЂўDevelop new skills in the area of cheminformatics and drug discovery and leverage those to accelerate development of new machine learning algorithms
вЂўKeep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вЂўIn-depth experience with modern and classical machine learning methods
вЂўStrong statistical foundation with broad knowledge of supervised and unsupervised techniques
вЂўProgramming experience (preferred Python, R, C++) preferably in Linux and high-performance computing environments
вЂўGood listener - strong, concise, and consistent written and oral communication
вЂўTalent for communicating stories through data visualizations
вЂўProven ability to collaborate with others
вЂўA passion for tackling challenging problems and developing creative solutions
вЂўA drive for self-development with a focus on scientific know-how
Additional qualifications that will help in the role:
вЂўDemonstrated impact using machine learning libraries, such as scikit-learn, PyTorch or similar in a cheminformatics context
вЂўHands on experience with data analysis software such as Spotfire, R-shiny or similar
вЂўWorking experience with open-source cheminformatics toolkits such as RDKit
вЂўWorking experience with source-code management systems such as Git/github/bitbucket
вЂўFamiliar with the foundational concepts in molecular biology, pharmacology or medicine. Working knowledge of medicinal chemistry and drug discovery is a plus
Why consider Novartis?
750 million. ThatвЂ™s how many lives our products touch. And while weвЂ™re proud of that fact, in this world of digital and technological transformation, we must also ask ourselves this: how can we continue to improve and extend even more peopleвЂ™s lives?
We believe the answers are found when curious, courageous and collaborative people like you are brought together in an inspiring environment. Where youвЂ™re given opportunities to explore the power of digital and data. Where youвЂ™re empowered to risk failure by taking smart risks, and where youвЂ™re surrounded by people who share your determination to tackle the worldвЂ™s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</si>
  <si>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</si>
  <si>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</si>
  <si>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</si>
  <si>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</si>
  <si>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</si>
  <si>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</si>
  <si>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</si>
  <si>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</si>
  <si>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</si>
  <si>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</si>
  <si>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</si>
  <si>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</si>
  <si>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</si>
  <si>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</si>
  <si>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</si>
  <si>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</si>
  <si>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</si>
  <si>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</si>
  <si>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XSELLвЂ™s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APIвЂ™s.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</si>
  <si>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</si>
  <si>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</si>
  <si>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</si>
  <si>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вЂў We hold ourselves accountable to the highest standards of integrity and ethics.
Customer Success вЂў We strive daily to exceed expectations and achieve customer mission success.
Employee Focus вЂў We invest in our employees' professional development and training, respecting individuality and fostering a culture of diversity and inclusion.
Innovation вЂў We know that discovering new and innovative ways to solve problems is critical to our success and makes us a great company.
Excellence in Execution вЂў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</si>
  <si>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</si>
  <si>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</si>
  <si>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</si>
  <si>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</si>
  <si>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</si>
  <si>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</si>
  <si>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</si>
  <si>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</si>
  <si>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</si>
  <si>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</si>
  <si>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</si>
  <si>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</si>
  <si>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</si>
  <si>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</si>
  <si>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</si>
  <si>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</si>
  <si>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</si>
  <si>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</si>
  <si>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В·Activities: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В·Experienced utilizing HANA studio data modeler which should include initial setup, calculations and, calculation and analytical views, data base schemas, creating attribute user/role creation.
В·Setting up security, Analytic privileges, user integration services, SQL script, SLT, SDA, SDI and HANA Live solution models.
В·Demonstrate critical thinking, analytical skills, and employ judgment to offer thoughtful, concise input toward resolutions of problems.
В·Assist team building the BW4HANA modeler including standard and custom development and deployment of EWD design building BW objects e.g. Composite Providers, Advanced DSOвЂ™s, ODS Views, Data Sources, Data Loading using SLT.
В·Be able to translate data requirements into business processes and reverse engineer business processes into data requirements Comprehension of DevOps and Agile development and application to data centric architecture and solutions
В·Leadership skills needed to successfully promote ideas, coordinate work activities, and plan deliverables
within a project team.
SKILLS, KNOWLEDGE, AND ABILITIES:
В·Advanced expert database handling languages (SQL and variants)
В·Expert in data modeling (physical and logical), ER diagrams, data dictionary, data map, normalize de-normalize,
agile data modeling
В·Practical skill sets in BI and Data visualization tools
В·Knowledge of other programming languages and ability to write code (i.e. VBA, python, XML)
В·Working knowledge of ETL
В·Working knowledge of SAP
В·Basic Project Management and Business Process modeling
В·Minimum BachelorвЂ™s Degree in Engineering Technology, Computer Science, or closely related field.
В·A minimum of 3 yearsвЂ™ experience in SAP Data Management and Governance, SAP Data Services (Data
Extract, Data Profiling, de-duplication)
В·Advanced competency in SAP HANA, SQL Server Database, Tableau and Alteryx
В·Experience in transactional modeling and dimensional data warehouse model development with at least 4 years developing in HANA.
В·Work with other IM data modelers and ETL developers to design data loads into HANA
В·Excellent verbal and written communication skills with a strong focus on the ability to clearly articulate and discuss technical issues with both technical and business personnel.
В·Bachelor degree in Computer Science, Math or a related IT field or equivalent work experience in an IT field required
В·Strong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</si>
  <si>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</si>
  <si>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</si>
  <si>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</si>
  <si>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</si>
  <si>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</si>
  <si>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</si>
  <si>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</si>
  <si>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</si>
  <si>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</si>
  <si>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WhatвЂ™s the Job?
В· Preprocessing, cleansing, and verifying integrity of data that can be provided as input for
advanced analytics
В· Ad-hoc analysis and presentations of results for technical and non-technical audiences
В· Feature selection, model building and optimization using machine learning techniques
В· Building regression, classification, association models
В·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В· 10+ years of professional work experience in a quantitative field
В· A Ph.D. or MasterвЂ™s Degree in operations research, applied statistics, Computer Science (data mining, machine learning stream) or a related quantitative discipline
В· Deep understanding of statistical and predictive modeling concepts, machine-learning approaches, clustering and classification techniques, and recommendation and optimization algorithms
В· Excellent applied statistics skills, such as distributions, statistical testing, regression, etc.
В· Excellent understanding of common machine learning techniques and algorithms, such as K-means, k-NN, Bayesian Networks, SVM, Decision trees, ensemble methods etc.
В· Experience with common data science toolkits, such as Python, R, Weka, NumPy, MatLab, etc. Proficiency in at least one of these (preferably Python)
В· Experience with data visualization tools, such as D3.js, Tableau etc.
В· Experience with Amazon Web Services
В· Some experience with NoSQL databases, such as MongoDB, Cassandra, or HBase
В· Ability to pass a Federal Government background investigation to obtain a Public Trust clearance.
В·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</si>
  <si>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</si>
  <si>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</si>
  <si>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</si>
  <si>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</si>
  <si>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</si>
  <si>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thatвЂ™s at the center of everything we do.
ABOUT YOU
YouвЂ™re an experienced data scientist with skills honed on internet commerce scale information and comfortable contributing to and improving a production system.
YouвЂ™re comfortable operating within an agile environment working with cross discipline teams
YouвЂ™re excited about working in a python production and DS stack and have defendable positions on which tools you choose.
YouвЂ™ve got proven experience with some combination of scikit-learn, TensorFlow, and PyTorch and have delivered scalable decision systems as part of a team
You believe ML can be a powerful tool when combined with human in the loop domain experts
YouвЂ™re Intrigued by the challenge of what a machine based travel agent could look like
WeвЂ™d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youвЂ™ll do is in direct support of that data science mission.
YouвЂ™ll listen directly to customers, identify opportunities and form hypotheses. Build prototypes and test them in production. Iteration and measurement are essential parts of what we do.
Be integral part of a cross-discipline team including product, engineering and UX thatвЂ™s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IFвЂ¦
В· You are motivated by disrupting the norm.
В· You have a great sense of humor and take your profession seriously, but not yourself.
В· Your entrepreneurial spirit drives your bias for action.
В· You are all about constructive feedback - you can dish it out and you can take it.
В·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</si>
  <si>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</si>
  <si>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</si>
  <si>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</si>
  <si>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BachelorвЂ™s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MasterвЂ™s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</si>
  <si>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</si>
  <si>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</si>
  <si>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</si>
  <si>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вЂ“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вЂ“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вЂ“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dataвЂ™s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</si>
  <si>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</si>
  <si>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</si>
  <si>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</si>
  <si>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</si>
  <si>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</si>
  <si>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</si>
  <si>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</si>
  <si>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</si>
  <si>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</si>
  <si>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</si>
  <si>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</si>
  <si>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</si>
  <si>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youвЂ™ll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YouвЂ™ll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</si>
  <si>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</si>
  <si>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</si>
  <si>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</si>
  <si>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PulsePointв„ў,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Personalizationв„ў.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</si>
  <si>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</si>
  <si>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</si>
  <si>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</si>
  <si>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</si>
  <si>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</si>
  <si>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</si>
  <si>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</si>
  <si>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</si>
  <si>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</si>
  <si>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</si>
  <si>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</si>
  <si>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</si>
  <si>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WhatвЂ™s significantly better than working on a typical data science team? How about working on a data science team in which youвЂ™re directly making an impact in the revolutionary field of artificial intelligence even as an entry level team member? (well, statistically significant that is). Pardon the pun, but at Spectrum weвЂ™re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bachelorвЂ™s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</si>
  <si>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</si>
  <si>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</si>
  <si>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weвЂ™re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вЂ“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worldвЂ™s largest companies and government agencies trust Oversight to identify enterprise spend risk no matter where it resides in their organization. OversightвЂ™s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</si>
  <si>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</si>
  <si>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</si>
  <si>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</si>
  <si>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</si>
  <si>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</si>
  <si>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</si>
  <si>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</si>
  <si>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</si>
  <si>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</si>
  <si>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</si>
  <si>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</si>
  <si>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</si>
  <si>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</si>
  <si>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</si>
  <si>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</si>
  <si>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</si>
  <si>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</si>
  <si>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</si>
  <si>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</si>
  <si>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</si>
  <si>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</si>
  <si>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</si>
  <si>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</si>
  <si>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</si>
  <si>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</si>
  <si>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</si>
  <si>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</si>
  <si>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</si>
  <si>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WeвЂ™re writing the rules of the cloud -- rules the worldвЂ™s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BachelorsвЂ™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YouвЂ™re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YouвЂ™ve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</si>
  <si>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</si>
  <si>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</si>
  <si>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</si>
  <si>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</si>
  <si>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</si>
  <si>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</si>
  <si>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customersвЂ™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groupsвЂ™ use
Standards and Best Practice development
Minimum Qualifications
BachelorвЂ™s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вЂњteam playerвЂќ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</si>
  <si>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</si>
  <si>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</si>
  <si>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</si>
  <si>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</si>
  <si>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</si>
  <si>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</si>
  <si>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</si>
  <si>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</si>
  <si>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customerвЂ™s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teamвЂ™s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BachelorвЂ™s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</si>
  <si>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</si>
  <si>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</si>
  <si>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</si>
  <si>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YearвЂ™s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</si>
  <si>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</si>
  <si>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</si>
  <si>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</si>
  <si>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</si>
  <si>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</si>
  <si>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</si>
  <si>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</si>
  <si>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</si>
  <si>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CAвЂ™s business goals and prepare for the organizationвЂ™s evolving data needs
Contribute to additional projects where relevant domain or data analysis expertise is needed
Qualifications:
BachelorвЂ™s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вЂjack of all tradesвЂ™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</si>
  <si>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</si>
  <si>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</si>
  <si>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</si>
  <si>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</si>
  <si>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</si>
  <si>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</si>
  <si>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</si>
  <si>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nationвЂ™s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вЂ“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BachelorвЂ™s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</si>
  <si>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</si>
  <si>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</si>
  <si>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</si>
  <si>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ArsenalBioвЂ™s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</si>
  <si>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</si>
  <si>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</si>
  <si>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</si>
  <si>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</si>
  <si>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</si>
  <si>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</si>
  <si>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providerвЂ™s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</si>
  <si>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</si>
  <si>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</si>
  <si>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</si>
  <si>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</si>
  <si>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staffвЂ”all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</si>
  <si>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</si>
  <si>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</si>
  <si>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</si>
  <si>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</si>
  <si>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</si>
  <si>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</si>
  <si>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вЂњconscious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CompanyвЂ™s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</si>
  <si>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</si>
  <si>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</si>
  <si>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</si>
  <si>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</si>
  <si>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</si>
  <si>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</si>
  <si>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</si>
  <si>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</si>
  <si>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</si>
  <si>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</si>
  <si>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WeвЂ™re an SBA 8(a) and CVE certified Service Disabled Veteran Owned Small Business
WeвЂ™re ISO 27001:2013, ISO 20000-1:2011, and ISO 9001:2015 certified and have CMMI DEV and SVC ML3 ratings
WeвЂ™ve been named part of: Inc 5000вЂ™s Fastest Growing Private Companies in 2016; Washington Business JournalвЂ™s Fastest Growing Companies in 2015, 2016 and 2017; Washington Business JournalвЂ™s Best Places to Work in 2015, 2016 and 2017
The Employer:
We offer great benefits - Paid Time Off, Medical, Dental and Vision Insurance, 401(k) with company matching
We invest in our employees вЂ“ We offer an annual training budget to our employees and opportunities for growth within the organization
We work hard, we play hard вЂ“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</si>
  <si>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</si>
  <si>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</si>
  <si>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</si>
  <si>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partnersвЂ™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worldвЂ™s most iconic brands. The award-winning iSeatz вЂњOneViewвЂќ platform meets brandsвЂ™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youвЂ™re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</si>
  <si>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</si>
  <si>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</si>
  <si>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</si>
  <si>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regionвЂ™s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HealthвЂ™s operational, financial, and clinical activities with the goal of leveraging data to drive and realize the full potential of the organizationвЂ™s programs.
Minimum Qualifications:
Formal Education Required:
-BachelorвЂ™s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</si>
  <si>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</si>
  <si>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</si>
  <si>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</si>
  <si>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</si>
  <si>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</si>
  <si>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TwitterвЂ™s business.
What YouвЂ™ll Do
WeвЂ™re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YouвЂ™ll own significant projects end-to-end. The small teams of talented, passionate people in which youвЂ™ll work will include engineers and data scientists from across the revenue engineering organization. We work on every high-priority ads project at Twitter.
Who You Are
YouвЂ™re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itвЂ™s as effective at driving impact to your product. YouвЂ™re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youвЂ™ve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</si>
  <si>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</si>
  <si>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</si>
  <si>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вЂ”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</si>
  <si>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</si>
  <si>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</si>
  <si>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</si>
  <si>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</si>
  <si>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</si>
  <si>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</si>
  <si>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</si>
  <si>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</si>
  <si>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worldвЂ™s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ReвЂ™s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вЂў BachelorвЂ™s degree or equivalent experience in an Accounting/Computer Science/Statistics related discipline
вЂў Related experience, in a reinsurance/insurance environment is a plus
вЂў Basic working knowledge of computer fundamentals &amp; Microsoft Office with being highly proficient in Excel (formulas, pivot tables, lookups, etc.). Take advantage of computer programs &amp; tools to maximize productivity.
вЂў Knowledge of Relational databases such as Microsoft SQL Server, and experience in application development (Python/R) is a plus
вЂў Proven organizational and time management skills; ability to handle multiple priorities
вЂў Proven interpersonal skills for effectively communicating and working internally across departments, as well as with clients.
вЂў Proven decision-making skills, detail oriented with excellent problem-solving skills
вЂў Able to think strategically (understands the team's role in the organization and how to leverage the team's competencies)
вЂў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</si>
  <si>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</si>
  <si>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</si>
  <si>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</si>
  <si>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</si>
  <si>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</si>
  <si>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</si>
  <si>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</si>
  <si>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</si>
  <si>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</si>
  <si>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</si>
  <si>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TherapistвЂ™s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worldвЂ™s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BachelorвЂ™s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</si>
  <si>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</si>
  <si>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</si>
  <si>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</si>
  <si>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</si>
  <si>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</si>
  <si>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MasterвЂ™s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</si>
  <si>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</si>
  <si>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</si>
  <si>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</si>
  <si>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</si>
  <si>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вЂўSeasoned data scientist with 5+ years of experience developing analytical dashboards, solutions and strategy across digital marketing platforms and social ecosystems
вЂўIn-depth knowledge of digital analytics data, measurement, methodologies, and industry standards.
вЂўExcellent communicator with good design sense and natural presentations skills that can weave results into a narrative for business and creative teams to comprehend easily
вЂўSelf-starter can take a project from start to finish with minimal supervision
вЂўFlexibility to deal with rapidly changing, time-constrained launch schedules.
вЂўAble to balance multiple projects and assignments.вЂўHighly detail-oriented, organized, and patient.
вЂўExperience in working across different global cultures a plus.
Requirements:
вЂўStrong working knowledge of SQL, Teradata preferred
вЂўExtremely proficient with Tableau and other Data Visualization tools
вЂўStrong working knowledge of process automation using a scripting language (R / Python)
вЂўSolid understanding of fundamental statistical concepts and measurement methodologiesвЂўWeb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</si>
  <si>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</si>
  <si>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</si>
  <si>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</si>
  <si>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</si>
  <si>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</si>
  <si>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</si>
  <si>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</si>
  <si>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</si>
  <si>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</si>
  <si>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</si>
  <si>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</si>
  <si>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</si>
  <si>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worldвЂ™s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WeвЂ™re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YouвЂ™ll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AmazonвЂ™s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</si>
  <si>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</si>
  <si>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</si>
  <si>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</si>
  <si>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</si>
  <si>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</si>
  <si>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</si>
  <si>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</si>
  <si>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customerвЂ™s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teamвЂ™s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</si>
  <si>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</si>
  <si>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</si>
  <si>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</si>
  <si>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вЂ“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вЂ“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вЂ“ Agile methodology
22. External experience as an Analyst for a Consulting company
23. 2-6 years experience with Caterpillar, working with a different unit or working with different products, processes or systems is desirable.
24. Professional English, Any other European language вЂ“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</si>
  <si>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</si>
  <si>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</si>
  <si>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</si>
  <si>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</si>
  <si>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</si>
  <si>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</si>
  <si>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BachelorвЂ™s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</si>
  <si>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</si>
  <si>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</si>
  <si>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</si>
  <si>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BachelorвЂ™s Degree from an accredited institution in Data Analytics, Informatics, Statistics, Mathematics, Computer Science, Information Systems, or Computer Engineering required
2+ yearsвЂ™ experience in Structure Query Language (SQL) required
2+ yearsвЂ™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</si>
  <si>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</si>
  <si>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</si>
  <si>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</si>
  <si>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</si>
  <si>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HealthfirstвЂ™s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BachelorвЂ™s Degree in Computer Engineering or related field
7+ yearsвЂ™ experience in a data engineering
10+ yearsвЂ™ experience in data programing languages such as java or python
4+ yearsвЂ™ experience working in a Big Data ecosystem processing data; includes file systems, data structures/databases, automation, security, messaging, movement, etc.
3+ yearsвЂ™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</si>
  <si>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elseвЂ”in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</si>
  <si>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</si>
  <si>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</si>
  <si>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</si>
  <si>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BachelorвЂ™s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</si>
  <si>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</si>
  <si>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</si>
  <si>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</si>
  <si>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</si>
  <si>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AmyrisвЂ™ molecules are used in wide range of specialty &amp; performance chemicals, flavors &amp; fragrances and in applications ranging from cosmetics to biofuels. Learn more at www.amyris.com.
Under the California Consumer Privacy Act of 2018 (вЂњCCPAвЂќ), Amyris is required to inform California residents who are our job applicants (вЂњApplicantsвЂќ)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вЂњAPPLY FOR THIS JOBвЂќ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companyвЂ™s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</si>
  <si>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</si>
  <si>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</si>
  <si>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</si>
  <si>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</si>
  <si>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</si>
  <si>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</si>
  <si>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</si>
  <si>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</si>
  <si>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</si>
  <si>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</si>
  <si>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</si>
  <si>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weвЂ™ve been around since 1996 and have a diverse mix of clients and technologies to keep us busy, very busy. And we keep a bench. If youвЂ™re not on a project, youвЂ™re writing software for our internal business functions or youвЂ™re learning new technologies. ItвЂ™s in our benefit to make our consultants as marketable as possible. ThatвЂ™s good for your career.
No politics or management; we donвЂ™t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ProвЂ™s,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arenвЂ™t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donвЂ™t want to grow and learn, weвЂ™re not a fit.
Positive, can-do attitude. We can teach the technology, but we canвЂ™t teach how to approach client challenges with a positive, helpful demeanor. The best consultants arenвЂ™t the most technical (although that sure helps), itвЂ™s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</si>
  <si>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</si>
  <si>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</si>
  <si>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</si>
  <si>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</si>
  <si>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humanityвЂ™s potential by delivering world-class, precision-engineered data solutions developed through sustainable and profitable partnerships. They honor their peopleвЂ™s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YouвЂ™ll Do:
вЂў This role is to facilitate the advancement of modern analytical techniques across Seagate organizations
вЂў Leverage and/or develop innovative data mining and machine learning methods to solve novel and diverse business problems
вЂў Focus on image/video analytics, edge computing projects by applying techniques in machine learning, deep learning, and statistical algorithms
вЂў Develop data science solutions for analytics challenges in the areas of Edge Computing, IoT sensors, Industry 4.0, Prognostics and Health Management, and other technical areas
вЂў Quantify the effectiveness and value of innovations with subject matter experts
вЂў Provide technical advice and coaching to the junior analytics staff
About you:
вЂў Evangelist and an assessor in promoting new ways of diving into complex issues while assessing current practices and identifying areas where training or knowledge would help
вЂў Strong oral and written communication skills
вЂў Strong business mindset with the ability to condense complex analysis and technical concepts into clear and concise takeaways for business leaders
вЂў Self-starter with the ability to drive initiatives and influence
вЂў Ability to work alone as well as in a team environment
вЂў Collaborative attitude and a global mindset with an ability to work well with native and non-native English speakers
вЂў Demonstrated leadership skills along with the ability to lead a team; mentor junior staff and closeout technical projects
Must Haves:
вЂў 8 years of experience
вЂў Proven track record in solving industrial image and video analytics problems; computer vision and a willingness of deep learning of industry standards is required.
вЂў Hands-on experience in developing and deploying image and video analytics solutions
вЂў Good understanding of image/video analytics lifecycle from image/video data gathering, processing, model development, verification, deployment, and model updating
вЂў High proficiency in Python
вЂў Hands-on skills in machine learning, deep learning, statistical algorithms, data mining, data structures, and data engineering
вЂў Proven track record in delivering analytics solutions using TensorRT, Time Series Analysis, Keras, Tensorflow, CNN, GAN, and RNN techniques
вЂў Kubernetes/Docker; Microservices deployment and design patterns, RESTful web services, web applications, and dashboard development
вЂў Hadoop, Spark, and cloud computing infrastructures
вЂў Ability to deploy data science solutions in cloud analytics infrastructure, AWS
вЂў Ability to participate in conference calls outside of regular local work hours
Education:
BachelorвЂ™s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</si>
  <si>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</si>
  <si>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</si>
  <si>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customerвЂ™s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youвЂ™ll work cross-functionally across the organization (marketing, finance, sales, etc.вЂ”you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вЂ“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</si>
  <si>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</si>
  <si>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</si>
  <si>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</si>
  <si>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</si>
  <si>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</si>
  <si>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</si>
  <si>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</si>
  <si>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</si>
  <si>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</si>
  <si>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</si>
  <si>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FullpowerВ® designs, develops and operates a complete platform for hybrid Edge/Cloud AI, algorithms, big data, predictive analytics, together with end-to-end engineering services. The CompanyвЂ™s platform is backed by a patent portfolio of 125+ patents. The CompanyвЂ™s key areas of expertise are bio-sensing, non-invasive PSG-level sleep technology. The CompanyвЂ™s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BachelorвЂ™s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</si>
  <si>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</si>
  <si>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</si>
  <si>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</si>
  <si>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KinshipвЂ™s Data Science &amp; Analytics team is core to our strategy. WeвЂ™re using digital, data and customer insights to transform our business by finding answers to problems that weвЂ™ve often never asked ourselves before. Our vast data assets are being combined to build a 360В° view of Pets and Pet Owners to not only power KinshipвЂ™s businesses but also influence the next great ideas in the Petcare space. This role will be key in helping us understand the power of our data, and how this translates into value for our company, Pets, and Pet Owners. Frequently the projects will be ambiguous, but thatвЂ™s part of the fun; you will determine the best way to leverage our data to tell the right story for any given audience.
HOW YOUвЂ™LL CREATE A BETTER WORLD FOR PETS
Apply data science approaches to understand and predict pet and pet owner behaviors
Use machine learning techniques, visualizations, &amp; statistical analysis to gain insight into various data sets вЂ“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whoвЂ™s boundlessly energy and enthusiasm for whatвЂ™s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yearsвЂ™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BachelorвЂ™s degree in quantitative field (economics, statistics, business, computer science) or equivalent experience
If you also had these experiences, youвЂ™d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</si>
  <si>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</si>
  <si>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</si>
  <si>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</si>
  <si>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</si>
  <si>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clientвЂ™s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вЂ“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</si>
  <si>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</si>
  <si>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</si>
  <si>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</si>
  <si>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</si>
  <si>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</si>
  <si>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</si>
  <si>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VisaВ®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bachelorвЂ™s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WhatвЂ™s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</si>
  <si>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</si>
  <si>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</si>
  <si>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</si>
  <si>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</si>
  <si>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</si>
  <si>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вЂњnotebookвЂќ-style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clientвЂ™s analytics needs
Developing state-of-the-art analytics ranging from ad hoc analysis to production-grade pipelines and workflows
Providing mathematical algorithms and implementations to serve the needs of data analysis workflows in QOMPLXвЂ™s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QOMPLX:OSв„ў,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вЂњPersonal Time Off (PTO)вЂќ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</si>
  <si>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</si>
  <si>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</si>
  <si>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</si>
  <si>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вЂњCreate a Better World for Pets by extending global leadership in Nutrition, Health and Services powered by DataвЂќ.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вЂ“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BachelorвЂ™s degree in quantitative field (economics, statistics, business, computer science) or equivalent experience
4+ yearsвЂ™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</si>
  <si>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withвЂЇactionableвЂЇinsights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descriptionвЂЇis notвЂЇa complete list of your qualifications orвЂЇposition roles.вЂЇGutCheckвЂЇis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</si>
  <si>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</si>
  <si>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</si>
  <si>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</si>
  <si>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</si>
  <si>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DepartmentвЂ™s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masterвЂ™s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BankвЂ™s official languages is a plus (Portuguese and/or French).
Link to Technical Competencies (в†ђ please Ctrl Click)
Link to Core Competencies (в†ђ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weвЂ™re committed to improving lives. Since 1959, weвЂ™ve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candidateвЂ™s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</si>
  <si>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</si>
  <si>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</si>
  <si>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</si>
  <si>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вЂ“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</si>
  <si>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</si>
  <si>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</si>
  <si>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</si>
  <si>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</si>
  <si>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вЂ“ SSBI REQUIRED**
** US CITIZENSHIP REQUIRED **
This is a Software Engineer position in Aurora, CO, and we are not hiring your average Java JoeвЂ™s.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вЂ“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yearsвЂ™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</si>
  <si>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</si>
  <si>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</si>
  <si>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</si>
  <si>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</si>
  <si>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</si>
  <si>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</si>
  <si>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AutodeskвЂ™s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AutodeskвЂ™s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</si>
  <si>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</si>
  <si>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</si>
  <si>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BachelorвЂ™s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organizationвЂ™s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</si>
  <si>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</si>
  <si>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</si>
  <si>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</si>
  <si>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</si>
  <si>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BachelorвЂ™s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HealthВ®,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nationвЂ™s largest payers and employers. Tens of millions of Americans are currently eligible for Tivity HealthвЂ™s SilverSneakersВ®, PrimeВ® Fitness, WholeHealth Livingв„ў and flip50в„ў programs and millions of people have lost weight with NutrisystemВ®, South Beach DietВ® and DNA BodyBlueprintв„ў.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</si>
  <si>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</si>
  <si>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</si>
  <si>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</si>
  <si>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</si>
  <si>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</si>
  <si>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</si>
  <si>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</si>
  <si>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</si>
  <si>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</si>
  <si>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communityвЂ™s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memberвЂ™s analysis work
- Refine and enhance existing applications to better meet the
customerвЂ™s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</si>
  <si>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</si>
  <si>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</si>
  <si>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</si>
  <si>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AllianceBernsteinвЂ™s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firmвЂ™s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worldвЂ™s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firmвЂ™s investment teams and supports our clients and internal business partners through investment-platform and product content, messaging, competitive analysis and education
Product Strategy &amp; Development designs, develops and manages the firmвЂ™s global lineup of investment services, and considers clientsвЂ™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</si>
  <si>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</si>
  <si>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</si>
  <si>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</si>
  <si>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</si>
  <si>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</si>
  <si>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</si>
  <si>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</si>
  <si>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</si>
  <si>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</si>
  <si>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</si>
  <si>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</si>
  <si>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</si>
  <si>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В· Design, improve, and manage datasets
В· Support technical design and implementation of demand planning automation projects that use these datasets
В· Monitor and enforce data quality standards
В· Hands-on coding, able to implement what was designed
В· Familiar with architecting and designing tools, and self-motivated for documentation
В· Optimize pipeline performance to reduce data lag and refresh time
Requirements
В· 3+ years of experience working in data architecture or a related field
В· 3+ years of Python Experience
В· Web framework experience
В· Experience building and optimizing data sets
В· Deep understanding of data architecture best practices such as normalizing data structures, minimizing logic complexity, defining intuitive and consistent semantic layers, and eliminating redundancy
В· Self-motivated and strong work ethic for continuous development with a strong sense of ownership
Preferred Skills
В· MasterвЂ™s degree in Computer Science or Data Science or work equivalent experience
В· Experience with ROS
В· Web development experience
В· Hands-on experience in dev-ops best practices and implementations
В·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</si>
  <si>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</si>
  <si>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</si>
  <si>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customersвЂ™ programs successful.
Client Engagement
вЂў Begin developing relationships one level up and two levels down. Identify and support opportunities to expand project scope beyond current deliverable and actively share information about clientsвЂ™ emerging support needs and trends with team members and management. В·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</si>
  <si>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</si>
  <si>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</si>
  <si>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youвЂ™ll discover something no human ever knew before about mental health.
What youвЂ™ll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вЂ” fluently tell a compelling clinical or business story with data
Strong written communication skills вЂ”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weвЂ™d love to see:
STEM PhDвЂ”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youвЂ™ll love working at Spring Health:
Competitive compensation plan, including equity in the company: we want you to own a piece of what youвЂ™re building.
Comprehensive benefits: we offer 401k, health, dental and vision benefits as well as free mental healthcare!
World-leading science: weвЂ™re shaping the future of mental healthcare, and are at the forefront of peer-reviewed science. YouвЂ™ll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</si>
  <si>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</si>
  <si>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</si>
  <si>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DoDвЂ™s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BachelorвЂ™s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</si>
  <si>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</si>
  <si>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</si>
  <si>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</si>
  <si>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firmвЂ™s investment teams and supports our clients and internal business partners through investment-platform and product content, messaging, competitive analysis and education
Product Strategy &amp; Development designs, develops and manages the firmвЂ™s global lineup of investment services and considers clientsвЂ™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oneвЂ™s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</si>
  <si>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</si>
  <si>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ArsenalBioвЂ™s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</si>
  <si>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GetWellNetworkВ® is the Precision Engagementв„ў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</si>
  <si>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</si>
  <si>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</si>
  <si>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</si>
  <si>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</si>
  <si>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</si>
  <si>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</si>
  <si>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</si>
  <si>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</si>
  <si>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</si>
  <si>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experienceвЂ”unlocking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weвЂ™ve built a team of people excited to face these challenges together while investing in each othersвЂ™ growth.
ScoopвЂ™s engineering team may move bits and pixels, but we also put real, live human beings in cars together. WeвЂ™re touching problems academics have written about for years, and have data that no other company has ever collected.
But Scoop knows engineering is not a lone discipline. WeвЂ™re a small team with varied backgrounds: big companies, VC-backed startups, bootcamps, academia. We like to build together, and we like to learn together. Our entire team and process are built around helping you grow and be successful. And weвЂ™d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вЂ” starting with a choice to make their commute a meaningful part of their day. We embody that same spirit within our own culture, empowering every team member to make this the most meaningful experience of their career.
Walk into Scoop and youвЂ™ll find a furry, tail-wagging welcoming committee. In many ways these fluffy faces exemplify the energy that flows through our office. They are a reminder that while weвЂ™re focused and driven, we shouldnвЂ™t take ourselves too seriously. They also help bridge the gap between our homes and our workplace, just like a Scoop carpool.
The atmosphere overall is dynamic and unique. ItвЂ™s influenced by our backgrounds at successful startups, big tech companies, and premier consulting firms вЂ” blended and crafted into what feels natural and right for this company. It plays out in our balance of scrappy and strategic, frameworks and fast thinking.
At Scoop, weвЂ™re all united by our desire to change the way people get to work вЂ”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</si>
  <si>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</si>
  <si>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вЂў We hold ourselves accountable to the highest standards of integrity and ethics.
Customer Success вЂў We strive daily to exceed expectations and achieve customer mission success.
Employee Focus вЂў We invest in our employees' professional development and training, respecting individuality and fostering a culture of diversity and inclusion.
Innovation вЂў We know that discovering new and innovative ways to solve problems is critical to our success and makes us a great company.
Excellence in Execution вЂў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</si>
  <si>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</si>
  <si>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</si>
  <si>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</si>
  <si>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</si>
  <si>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</si>
  <si>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вЂў MS or PhD in Computer Science, Electrical Engineering, Statistics, Applied Math or equivalent fields with strong mathematical background
вЂў Excellent understanding of machine learning techniques and algorithms, including clustering, anomaly detection, optimization, neural network etc
вЂў 3+ years experiences building data science-driven solutions including data collection, feature selection, model training, post-deployment validation
вЂў Strong hands-on coding skills (preferably in Python) processing large-scale data set and developing machine learning models
вЂў Familiar with one or more machine learning or statistical modeling tools such as Numpy, ScikitLearn, MLlib, Tensorflow
вЂў Good team worker with excellent communication skills written, verbal and presentation
Desired Experience:
вЂў Experience with AWS, S3, Flink, Spark, Kafka, ElasticSearch
вЂў Knowledge and experience with NLP technology
вЂў Previous work in a start-up environment
Juniper Networks is enrolled in E-VerifyВ®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</si>
  <si>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</si>
  <si>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</si>
  <si>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</si>
  <si>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</si>
  <si>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</si>
  <si>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</si>
  <si>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вЂ”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вЂ”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</si>
  <si>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</si>
  <si>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</si>
  <si>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</si>
  <si>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</si>
  <si>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</si>
  <si>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weвЂ™re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futureвЂ¦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YouвЂ™ll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YouвЂ™ll Need:
Bachelor's or MasterвЂ™s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вЂ“ ability to prioritize and meet deadlines
Diligent work ethic. Must be self-motivated and able to take the initiative to get the job done
Digital Marketing experience is preferred but definitely not required
What YouвЂ™ll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</si>
  <si>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</si>
  <si>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</si>
  <si>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worldвЂ™s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worldвЂ™s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</si>
  <si>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</si>
  <si>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</si>
  <si>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</si>
  <si>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</si>
  <si>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</si>
  <si>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</si>
  <si>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</si>
  <si>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</si>
  <si>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</si>
  <si>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BachelorвЂ™s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regionвЂ™s $10+ billion вЂњstock exchangeвЂќ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</si>
  <si>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</si>
  <si>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</si>
  <si>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</si>
  <si>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it.вЂЇ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donвЂ™t believe in вЂidealвЂ™ candidates, so if you see a job that sparks your interest, go for it. Wherever youвЂ™re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WeвЂ™re dedicated to continually improving our product and providing relentless customer service, and weвЂ™re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experiencesвЂ”and we love and celebrate those differences. We believe that employees are happiest when theyвЂ™re empowered to be their full, authentic selves, regardless how you identify.
So, please come as you are. We canвЂ™t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</si>
  <si>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</si>
  <si>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</si>
  <si>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</si>
  <si>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</si>
  <si>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sponsorвЂ™s vital
national security mission and to build MITREвЂ™s capabilities in the artificial
intelligence and machine learning arenas.
This is a strategic leadership role with the successful candidate also
advising and working to expand MITREвЂ™s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MITREвЂ™s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</si>
  <si>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</si>
  <si>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</si>
  <si>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</si>
  <si>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</si>
  <si>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</si>
  <si>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</si>
  <si>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MasterвЂ™s degree in scientific discipline and more than 5 yearsвЂ™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industryвЂ™s leading researchers. Our offices boast a fun and collaborative working environment, frequent social events and a robust support system. We are committed to providing training and professional development, with ample opportunity to advance, for all our staff.
EvideraвЂ™s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вЂ“ weвЂ™d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</si>
  <si>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</si>
  <si>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</si>
  <si>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customersвЂ™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homeownerвЂ™s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вЂњA-/ExcellentвЂќ.</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</si>
  <si>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</si>
  <si>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</si>
  <si>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</si>
  <si>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</si>
  <si>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divisionвЂ™s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</si>
  <si>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</si>
  <si>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</si>
  <si>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</si>
  <si>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</si>
  <si>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В· Highly proficient utilizing SQL and Alteryx, tableau, Qlik, etc. to manipulate, arrange, query and present data
В· Experience with complex problem solving вЂ“ data manipulation, data quality, data modeling,statistical analysis and/or reporting
В· Excellent interpersonal skills with people at all management and organizational levels
В· Ability to respond in an effective and timely manner
В· Subject matter expert in an analytics specialty
В· BA / BS in Statistics, Mathematics, Econometrics or computer science
В·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</si>
  <si>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</si>
  <si>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</si>
  <si>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</si>
  <si>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</si>
  <si>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</si>
  <si>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</si>
  <si>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</si>
  <si>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</si>
  <si>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</si>
  <si>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вЂњnegotiableвЂќ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</si>
  <si>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</si>
  <si>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inвЂ”we'd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ambitionsвЂ”both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</si>
  <si>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</si>
  <si>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</si>
  <si>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</si>
  <si>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TRCвЂ™s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</si>
  <si>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</si>
  <si>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</si>
  <si>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</si>
  <si>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CompanyвЂ™s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CovaxxвЂ™s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</si>
  <si>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</si>
  <si>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</si>
  <si>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bioMГ©rieux Inc.
Sr Data Scientist
SENIOR DATA SCIENTIST вЂ“ SYSTEM DEVELOPMENT
Description:
bioMerieuxвЂ™s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bioMГ©rieux is an Equal Opportunity, Affirmative Action Employer. M/F/Vet/Disability/Sexual Orientation/Gender Identity/GINA</t>
  </si>
  <si>
    <t>bioMГ©rieux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</si>
  <si>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</si>
  <si>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</si>
  <si>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</si>
  <si>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</si>
  <si>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500В®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</si>
  <si>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</si>
  <si>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</si>
  <si>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вЂ”providing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experienceвЂ”you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</si>
  <si>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</si>
  <si>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</si>
  <si>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</si>
  <si>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вЂ“ Say InsuranceВ®.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вЂ“ so we need dynamic self-starters to hit the ground running and work well in a fluid, collaborative setting. We're customer-obsessed. We're data junkies. We test and optimize. And we like things that way.
Your day looks something like this:
вЂў Use business intelligence to transform data into valuable reports that guide business direction.
вЂў Explore, analyze and communicate trends in data.
вЂў Work with business stakeholders to identify and document business goals, reporting requirements and key
performance indicators (KPIs).
вЂў Provide analysis to support the business team in meeting operational and strategic goals through data collection,
data management and data analysis assignments.
вЂў Design and customize user-friendly dashboards in AWS Quicksite that track key program metrics related to a new
direct-to-consumer auto insurance brand.
вЂў Develop automated report templates utilizing data from multiple sources while conducting data and dashboard
quality assurance throughout the life of the design.
вЂў Assess data from web analytics (Google Analytics), voice-of-customer tools, and other data gathering inputs. вЂў
вЂў Develop findings and conclusions from this data assessment and provide conclusions and recommendations to
Say Insurance leadership.
вЂў Review industry data tools such as SNL Financial.
вЂў Manage the design and construction of high-quality analytics, queries, and document procedures for deploying
reports to internal and external customers
вЂў Collaborate with developers and other analysts to create data solutions and insights.
We're looking for someone with:
вЂў A thirst for innovation and learning.
вЂў Knowledge of current statistical (A/B, multivariate) testing methods and research design.
вЂў Experience or competence querying databases with SQL.
вЂў Experience using tools such as Excel, Amazon Web Services (QuickSight, S3, Athena), GoodData, Tableau, Google
вЂў Analytics, BigQuery and/or other data gathering and reporting tools.
вЂў Strong quantitative and analytical skills with the ability to interpret and apply results to resolve business issues.
вЂў Experience with database analysis, business processes and systems (BI reporting tools).
вЂў Ability to communicate findings, debrief, and make recommendations.
вЂў Ability to thrive in a detail-oriented and results-driven environment.
вЂў Ability to handle multiple projects concurrently.
вЂў Experience working in a fast-paced production setting вЂ“ with a track record of effectively prioritizing a heavy
workload and meeting deadlines with accuracy and minimum supervision.
вЂў Superior collaboration skills and a desire to work on a cross-functional, agile team.
вЂў A positive attitude and self-starting nature, excited to contribute to a rapidly changing start-up environment.
вЂў Ability to work on scheduled and ad hoc projects.
Bonus if you have:
вЂў Experience with machine learning, artificial intelligence or predictive analytics.
вЂў Background in a statistical programming language (Python, R).
вЂў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</si>
  <si>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</si>
  <si>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</si>
  <si>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</si>
  <si>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</si>
  <si>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companyвЂ™s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BachelorвЂ™s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programsвЂ”High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FCCвЂ™s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вЂњApply For This Job OnlineвЂќ button.
USAC employees are passionate about our mission. Our work contributes to the success of all Americans. WeвЂ™ve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</si>
  <si>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</si>
  <si>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</si>
  <si>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</si>
  <si>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</si>
  <si>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</si>
  <si>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</si>
  <si>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</si>
  <si>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OfferpadвЂ™s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BachelorвЂ™s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</si>
  <si>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</si>
  <si>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</si>
  <si>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</si>
  <si>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AutodeskвЂ™s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</si>
  <si>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</si>
  <si>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вЂњAвЂќ Stamping, Assembly and High Pressure Die Casting that produces Body-side and Door Openings, Roofs, Floor Pans, Wheelhouses, Large Welded Assemblies, Doors, Fenders, Hoods, Lift-gates, Aluminum Shock Towers, and Aluminum Rear Rails. Our capabilities include the manufacturing of Class вЂњAвЂќ Body Panels along with Medium/Large Stampings, Large Assemblies and Aluminum Stampings and Assemblies, and Aluminum High Pressure Vacuum Die Casting to our Original Equipment Manufacturers (OEMs) such as MerВ­cedes Benz, Volkswagen, Kia, Hyundai, Nissan, BMW and Freightliner. As a local distributor and supplier, KamtekвЂ™ s market segmentation to Cosma International, (a division of MAGNA INTERNATIONAL) provides a вЂњstate-of-the-artвЂќ product that utilizes the most technologically advanced Pressing processes in order to maintain a competitive advantage to other OEMвЂ™s within the market. Our companyвЂ™s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employeesвЂ™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divisionвЂ™s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вЂbig dataвЂ™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вЂbig dataвЂ™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вЂbig dataвЂ™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вЂўExperience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</si>
  <si>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</si>
  <si>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</si>
  <si>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</si>
  <si>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</si>
  <si>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</si>
  <si>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worldвЂ™s largest pharmaceutical companies to improve patient lives, support drug safety programs, and help manage new Clinical studies.
Responsibilities
В· Build and continually improve Tableau dashboard offerings for business partners.
В· Monitor and analyze business performance, providing targeted dashboards and recommendations for operational improvement.
В· Serve as Subject Matter Expert (SME) for business data, systems and processes under teamвЂ™s area of support.
В· Write and edit SQL code to ensure data is pulled optimally.
Required Qualifications
В· BS in a technical field (BI, Analytics, Data Science, IS, Computer Science, etc).
В· Advanced SQL skills.
В· Advanced dashboard design skills, including 2+ years of experience with a dashboard toolset (Tableau, Qlik, Domo, Birst, etc).
В· 2+ years of data analysis experience.
В· Excellent communication and presentation ability.
В· Excellent project management skills.
В· Highly self-motivated.
Preferred Qualifications
В· MS in a Data-related field (BI, Analytics, Data Science, etc).
В· Expert-level SQL skills
В· Expert-level Tableau skills.
В· Advanced R skills.
В· Healthcare (ideally pharma) experience.
В·Minimal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</si>
  <si>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</si>
  <si>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</si>
  <si>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</si>
  <si>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BachelorвЂ™s degree and 3 years of work experience in a mathematical, statistical, computer science, engineering, physics, economics or related quantitative field; OR Actuarial credential or MasterвЂ™s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KellyВ®?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KellyВ®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</si>
  <si>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</si>
  <si>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</si>
  <si>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</si>
  <si>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</si>
  <si>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</si>
  <si>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</si>
  <si>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</si>
  <si>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</si>
  <si>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</si>
  <si>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вЂ”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QuartetвЂ™s platform.
Apply data mining and machine learning techniques to develop better personalization and recommendation for patientsвЂ™ and doctorsвЂ™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MasterвЂ™s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</si>
  <si>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</si>
  <si>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</si>
  <si>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</si>
  <si>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</si>
  <si>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</si>
  <si>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</si>
  <si>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ThatвЂ™s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</si>
  <si>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</si>
  <si>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</si>
  <si>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</si>
  <si>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</si>
  <si>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</si>
  <si>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practitionerвЂ™s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вЂў Assess customer systems and processes for application of machine learning technologies
вЂў Create and prototype machine learning approaches to demonstrate efficacy
вЂў Perform basic and applied research in applying machine learning solutions to complex problems and datasets; document and present research results and the status of ongoing or emerging projects
вЂў Participate in a multi-disciplinary, experienced, energetic team on a rapid development schedule
вЂў Occasional travel may be required
вЂў Other duties as assigned
Qualifications:
вЂў US citizen able to qualify for a Top Secret clearance with SCI adjudication
вЂў BachelorвЂ™s degree in computer science, engineering, or related technical field with specialization in artificial intelligence / machine learning
вЂў Proficient with programming languages and software packages related to the development of machine learning algorithms including, but not limited to: Python, Tensorflow, PyTorch
вЂў Self-motivated, detail oriented, responsible team player able to work independently with minimal daily direction; effective/efficient written/verbal communication skills
вЂў 1-3 years experience
вЂў Ability to work and interact with technically and organizationally diverse personnel
Desired Qualifications
вЂў Top Secret clearance with SCI adjudication
вЂў Doctorate or MasterвЂ™s degree in computer science, engineering, or related technical field with specialization in artificial intelligence and 3 years
experience
вЂў Experience working with or in support of Department of Defense (DoD) or intelligence community (IC)
вЂў Experience with one or more of the following: GPU/parallel processing such as NVIDIAвЂ™s CUDA, classification, pattern recognition, anomaly detection, pose estimation, or similar
Riverside Research strives to be one of AmericaвЂ™s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</si>
  <si>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</si>
  <si>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</si>
  <si>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etcвЂ¦) and more than one year experience in relevant field; Previous consulting experience is preferred
MasterвЂ™s degree in a life sciences or social sciences discipline (psychology, epidemiology, health services, public health, etcвЂ¦) and more than 5 yearsвЂ™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industryвЂ™s leading researchers. Our offices boast a fun and collaborative working environment, frequent social events and a robust support system. We are committed to providing training and professional development, with ample opportunity to advance, for all our staff.
EvideraвЂ™s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вЂ“ weвЂ™d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</si>
  <si>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</si>
  <si>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competitorsвЂ™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clientsвЂ™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вЂњBootcampвЂќ web marketing training program will be provided for new WebFX вЂњfamily membersвЂќ.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</si>
  <si>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</si>
  <si>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</si>
  <si>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</si>
  <si>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youвЂ™ll have the freedom to make key product decisions without much oversight, and the tools and resources to build and ship ideas quickly. YouвЂ™ll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donвЂ™t keep secrets.
Image recognition is no longer an innovation to you, instead it is a routine task.
NLP isnвЂ™t a foreign acronym and youвЂ™ve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StreetВ© characters.
What youвЂ™ll own
The foundation for advanced analytics at a global company.
The roadmap of projects youвЂ™ll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вЂњApply with LinkedInвЂќ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</si>
  <si>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</si>
  <si>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</si>
  <si>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BachelorвЂ™s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</si>
  <si>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</si>
  <si>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</si>
  <si>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</si>
  <si>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</si>
  <si>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</si>
  <si>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</si>
  <si>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</si>
  <si>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</si>
  <si>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</si>
  <si>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</si>
  <si>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</si>
  <si>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</si>
  <si>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</si>
  <si>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</si>
  <si>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preВ­launch, launch and/or post-В­marketing medical strategies, plans and tactics
Analytical and problemВ­ solving capabilities and skills
Evident Drive for Results (demonstrates interest and ability to learn new things, takes initiative, welcomes problems as challenges; finds solutions to technical problems)
In-В­depth knowledge of the multiВ­disciplinary functions involved in a drug development process, and can proactively integrate multiple perspectives into the post-В­marketing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multiВ­disciplinary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</si>
  <si>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</si>
  <si>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</si>
  <si>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</si>
  <si>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</si>
  <si>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</si>
  <si>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</si>
  <si>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вЂњyesвЂќ, then the Principal Data Scientist position here at Constant Contact may be just what youвЂ™re looking for.
What youвЂ™ll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youвЂ™ll love us:
ItвЂ™s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thereвЂ™s a way for everyone to let loose
Local pride. WeвЂ™re wicked proud, which means when any of our teams - Bruins, Patriots, Red Sox, Celtics, and Revolution - kick off their season, you can bet thereвЂ™s going to be a party to cheer them on. Go ahead and wear your jersey to work
Dine al fresco. Our gorgeous patios make for rejuvenating lunch and coffee breaks
ItвЂ™s super easy to get here. We offer a subsidized shuttle from the Alewife T stop if you prefer public transportation, and we have plenty of free onsite parking, too
WeвЂ™ve got you covered. From 401k, generous PTO, tuition reimbursement, casual dress code and excellent medical, dental, and vision - weвЂ™re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</si>
  <si>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</si>
  <si>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</si>
  <si>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</si>
  <si>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</si>
  <si>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</si>
  <si>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ItвЂ™s a product-focused machine learning teamвЂ™s dream. Sage Intacct Artificial Intelligence Labs вЂњSAILвЂќ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companyвЂ™s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YouвЂ™re comfortable with investigating open-ended problems and coming up with concrete approaches to solve them.
You know when to use machine learning and when not to!
YouвЂ™re a deeply curious person.
You can wrangle data like a pro alligator wrestler and come out relatively unscathed.
You often think about applications of machine learning in your personal life.
What itвЂ™s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</si>
  <si>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</si>
  <si>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</si>
  <si>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ShapeвЂ™s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</si>
  <si>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</si>
  <si>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</si>
  <si>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</si>
  <si>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</si>
  <si>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</si>
  <si>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</si>
  <si>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</si>
  <si>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youвЂ™d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вЂњcleanвЂќ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</si>
  <si>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</si>
  <si>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</si>
  <si>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</si>
  <si>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</si>
  <si>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</si>
  <si>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</si>
  <si>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</si>
  <si>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Therapeuticsв„ў. Our proprietary RED PLATFORMВ® was designed to genetically engineer and culture Red Cell Therapeuticsв„ў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вЂ“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RubiusвЂ™s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WeвЂ™re looking for someone that understands вЂњphase appropriateвЂќ, isnвЂ™t afraid to take risk, and will roll-up their sleeves and get a little dirty. If youвЂ™re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RubiusвЂ™s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</si>
  <si>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</si>
  <si>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</si>
  <si>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</si>
  <si>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oneвЂ™s audit skills through exposure to the companyвЂ™s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departmentвЂ™s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вЂ“ both verbal and written, strong quantitative analytical and problem solving skills, detail-oriented, ability to see the big picture/think critically, and ability to get along well with others at all levels of the company/team player.
Education: BachelorвЂ™s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</si>
  <si>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</si>
  <si>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</si>
  <si>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</si>
  <si>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</si>
  <si>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</si>
  <si>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п¬Ѓelds such as sensor science, signal processing, data fusion, artiп¬Ѓcial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</si>
  <si>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</si>
  <si>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</si>
  <si>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</si>
  <si>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</si>
  <si>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companyвЂ™s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</si>
  <si>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</si>
  <si>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вЂ“ Image Analytics, Novartis AI Innovation Lab</t>
  </si>
  <si>
    <t>15-Apr-2020
Job ID
279187BR
{"QuestionName":"Job Description","AnswerValue":"750 million. ThatвЂ™s how many lives our products touch. And while weвЂ™re proud of that fact, in this world of digital and technological transformation, we must also ask ourselves this: how can we continue to improve and extend even more peopleвЂ™s lives?
We believe the answers are found when curious, courageous and collaborative people like you are brought together in an inspiring environment. Where youвЂ™re given opportunities to explore the power of digital and data. Where youвЂ™re empowered to risk failure by taking smart risks, and where youвЂ™re surrounded by people who share your determination to tackle the worldвЂ™s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вЂў Lead independently end-to-end analysis of image data sets
вЂў Take a hands-on role and deliver on multiple highly visible data science projects
вЂў Serve as an ambassador for Novartis Data Science by presenting and publishing articles at conferences, business meetings and academic institutions
вЂў Facilitate design and creation of knowledge repositories
вЂў Keep ahead of latest development in the field and mentor associates
вЂў Collaborate with the digital and DSAI teams
вЂў Inspire others on culture change
Posting Title
Senior Data Scientist вЂ“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</si>
  <si>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employeeвЂ™s talent вЂ“ regardless of gender, race, ethnicity, national origin, sexual orientation, religion or other protected characteristics вЂ“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</si>
  <si>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</si>
  <si>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</si>
  <si>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</si>
  <si>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вЂў We hold ourselves accountable to the highest standards of integrity and ethics.
Customer Success вЂў We strive daily to exceed expectations and achieve customer mission success.
Employee Focus вЂў We invest in our employees' professional development and training, respecting individuality, and fostering a culture of diversity and inclusion.
Innovation вЂў We know that discovering new and innovative ways to solve problems is critical to our success and makes us a great company.
Excellence in Execution вЂў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</si>
  <si>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</si>
  <si>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BachelorвЂ™s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</si>
  <si>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</si>
  <si>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</si>
  <si>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</si>
  <si>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</si>
  <si>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В·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В· Evaluate software and provide recommendations to drive improvement in processes, inspection technology, software applications, and related documentation
В· Interface between Data Analysis team to provide training and bring feedback to Software Development team
В· Process and analyze data that has been acquired during an in-line inspection using proprietary software applications
В· Apply accepted engineering practices in order to assess fitness-for-purpose of the inspected pipeline
В· Finalize reports and communicate to client results and recommendations
В· Fulfill project management and coordination needs as requested
KNOWLEDGE AND SKILLS:
В· Minimum high school diploma or equivalent; further education preferred
В· Minimum of 3-yearsвЂ™ experience analyzing ILI data or using ILI Analysis Software (ultrasonic technology preferred)
В· Capable of making independent decisions/recommendations which can have immediate or time dependent consequences associated with pipeline integrity
В· Must be customer focused, have excellent attention to detail and a strong ability to work in a team environment
В· Requires excellent ability to represent the company in a professional manner with regard to communicating and interfacing with clients and committed to maintaining confidentiality and protecting intellectual property
В· Must be able to pass visual examinations in order to analyze inspection data: near-vision acuity and color contrast differentiation
В· Must possess excellent computer skills; Microsoft Suite and easily adapt to proprietary software applications
В· Must have excellent numerical skills
В·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</si>
  <si>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</si>
  <si>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</si>
  <si>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</si>
  <si>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</si>
  <si>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</si>
  <si>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</si>
  <si>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</si>
  <si>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</si>
  <si>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</si>
  <si>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</si>
  <si>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</si>
  <si>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</si>
  <si>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</si>
  <si>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</si>
  <si>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</si>
  <si>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</si>
  <si>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</si>
  <si>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</si>
  <si>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</si>
  <si>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</si>
  <si>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</si>
  <si>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</si>
  <si>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</si>
  <si>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</si>
  <si>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</si>
  <si>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</si>
  <si>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</si>
  <si>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</si>
  <si>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</si>
  <si>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</si>
  <si>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</si>
  <si>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</si>
  <si>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</si>
  <si>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</si>
  <si>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</si>
  <si>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</si>
  <si>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</si>
  <si>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В· Works with internal customers, including field operators, to gather specifications for data and report requirements
В· Utilizes and maintains a formal report writing process
В· Creates, maintains, optimizes, and supports new and existing moderately complex reports as specified by end users
В· Executes a data integrity/consistency plan for monitoring data across multiple platforms on a regular basis
В· Develops SQL queries to extract, manipulate and/or calculate information to fulfill data and reporting requirements
В· Creates and maintains a positive relationship with our user community
В· Prompt and regular attendance is required
Requirements:
Job Requirements:
В· Knowledge and experience with SQL queries
В· Demonstrated organizational, analytical, and project management skills
В· Ability to communicate verbally and in writing
В· Ability to build collaborative relationships
В·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BachelorвЂ™s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</si>
  <si>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</si>
  <si>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</si>
  <si>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</si>
  <si>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</si>
  <si>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</si>
  <si>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</si>
  <si>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</si>
  <si>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</si>
  <si>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</si>
  <si>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</si>
  <si>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</si>
  <si>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вЂ“ Your place might be with us!
We are looking for a data scientist, to join our data analytics team, with a passion for getting real-world value out of collected data from our vehicle fleets around the world.
Responsibilities:
В· Take ownership on vehicle sensor data output - Create tools, organize and analyze data to provide meaningful insights
В· Create statistical analysis algorithms systems such as anomaly detection, optimization processes, and more
В· Visualize and present data and insights, convey results and conclusions to clients and R&amp;D team
В· Research and extend the companyвЂ™s data from 3rd party sources from the automotive field
Requirements
В· BachelorвЂ™s degree in computer science, software engineering or computer engineering.
В· At least a 5-year experience in data science
В· Work in the R&amp;D division and collaborate with technical professionals (IT, Elec. Eng., Mech. Eng., SW Eng., etc.)
В· Experience with analytical tools and data science toolkit вЂ“ R, Python, MATLAB, etc.
В· Good understanding and experience with ML systems
В· Experience with big data systems
В· Advantage - experience with automotive data, vehicle dynamics and other metrics.
вЂNice to haveвЂ™
В· вЂhands-onвЂ™ approach вЂ“ Enjoy coding, prototyping, AND working on an electric vehicle system
В· Advantage вЂ“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</si>
  <si>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</si>
  <si>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</si>
  <si>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</si>
  <si>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</si>
  <si>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</si>
  <si>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вЂ“ Bring new data driven insights to the Equity Analyst and PMвЂ™s.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вЂ“ Facilitate a process for effectively incorporating quantitative insights into the fundamental investment process. This would include responding to ad hoc requests from analyst as well as proactively providing periodic reviews and updates to PMвЂ™s and analysts on their holdings and portfolio positioning.
Coordinate between fundamental research, quantitative research, and the technology data center вЂ“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вЂ“ Analysts, PMвЂ™s, Quant Team, Technology, Distribution
Raise awareness and create a вЂњpullвЂќ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</si>
  <si>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</si>
  <si>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</si>
  <si>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</si>
  <si>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</si>
  <si>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</si>
  <si>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</si>
  <si>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</si>
  <si>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</si>
  <si>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</si>
  <si>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</si>
  <si>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</si>
  <si>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</si>
  <si>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</si>
  <si>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</si>
  <si>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</si>
  <si>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</si>
  <si>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</si>
  <si>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</si>
  <si>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PayPalвЂ™s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вЂ“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weвЂ™re literally reinventing how the world pays and gets paid. We understand that itвЂ™s about people. We connect individuals to let them shop, get paid, donate and send money using todayвЂ™s technology with the confidence that comes from the security and control PayPal enables. Are you ready to help us change the world?
The worldвЂ™s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PayPalвЂ™s Global Data Science organization, you will have an impact on PayPalвЂ™s marketing and product all around the world. Our data scientists work to better understand our end-users, identify opportunities and improve our products and marketing outreach by creating personal and smart experiences. Making use of PayPalвЂ™s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вЂ“ then PayPalвЂ™s Global Data Sciences (GDS) is looking for you.
Job Description:
In your role as a Lead Data-Scientist, you will:
В· Work with partners to translate business challenges into Data Science problems
В· Mine data and extract information in PayPalвЂ™s Big Data environment
В· Leverage Machine Learning algorithms to solve real-life problems
В· Work with engineers and product managers to develop and deliver E2E data science driven solutions that bring real business value
В· Analyze various kinds of data to conclude actionable insights
В· Carry out independent research and innovation in new content, ML and technological domains, while supporting existing projects
About You
В· Masters, PhD, or equivalent experience in a quantitative field (Computer Science, Mathematics, Engineering, Artificial Intelligence, etc.
В· 1-2 years Product/Marketing data science work experience is a plus
В· Code writing capability in any programming language (Python, R, Java, Scala, etc.) and familiarity with relevant ML packages
В· Hadoop experience (PIG, Hive, Spark)
В· Strong analytical skills
В· Excellent spoken and written English
В·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</si>
  <si>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</si>
  <si>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</si>
  <si>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</si>
  <si>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</si>
  <si>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</si>
  <si>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</si>
  <si>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</si>
  <si>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</si>
  <si>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</si>
  <si>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</si>
  <si>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</si>
  <si>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</si>
  <si>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</si>
  <si>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BachelorвЂ™s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</si>
  <si>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</si>
  <si>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</si>
  <si>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</si>
  <si>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</si>
  <si>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</si>
  <si>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</si>
  <si>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</si>
  <si>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</si>
  <si>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</si>
  <si>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</si>
  <si>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</si>
  <si>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</si>
  <si>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</si>
  <si>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</si>
  <si>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</si>
  <si>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</si>
  <si>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</si>
  <si>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</si>
  <si>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</si>
  <si>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</si>
  <si>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BachelorвЂ™s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companyвЂ™s Employee Stock Ownership Plan (ESOP) and 401(k) Plan
Employer contributions to RRCвЂ™s ESOP
Employer matching contributions to the companyвЂ™s 401( k) Plan
Employer discretionary contributions to the companyвЂ™s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</si>
  <si>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</si>
  <si>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</si>
  <si>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</si>
  <si>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</si>
  <si>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</si>
  <si>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</si>
  <si>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вЂў Subject Matter Expert in a defined functional area or areas.
вЂў Create, maintain and report out on a monthly, quarterly and annual basis, key metrics for defined areas of expertise.
вЂў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вЂў Identify and investigate trends that warrant deeper analysis, and advise decision makers of implications and potential corrective actions.
вЂў Develop and manage data quality and normalization and attribution models and metrics needed to make multiple disparate data sources usable for data mining and other analytical uses
вЂў Monitor and adapt models to changing business needs
вЂў Define and provide input for experiment design and quantitative analysis within area of expertise.
вЂў Support Ad hoc requests as a leader, advisor or contributing team member for key projects as needed
вЂў Manage the integration of key external data sources into our enterprise data repositories for use by all analytics teams and report writers across the enterprise
вЂў Design and manage pattern databases for use in predictive modeling and other data mining analysis
вЂў Conform with and contribute to Enterprise Performance Management &amp; Analytics governance processes and policies
Qualifications:
7-10 Years of experience applying advanced analytics and data mining methods that impact business results in area of expertise.
BachelorвЂ™s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(вЂњMinority/Female/Disability/Veteran/VEVRAA Federal ContractorвЂќ)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</si>
  <si>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</si>
  <si>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</si>
  <si>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</si>
  <si>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clientsвЂ™ complex global research. Working on the biggest stage for researchers, youвЂ™ll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GallupвЂ™s unique data give you an unparalleled opportunity to use your creativity to explore new avenues of social research. If you are passionate about using data to solve the worldвЂ™s most pressing problems, join Gallup вЂ”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clientsвЂ™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worldвЂ™s most pressing problems
What you need:
MasterвЂ™s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</si>
  <si>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</si>
  <si>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</si>
  <si>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(youвЂ™ll hear that mantra a lot). Our employees are world-class storytellers, excellent communicators, вЂњgood eggsвЂќ, andвЂ”most of allвЂ”effective.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worldвЂ™s largest digital business news site which and has continued to grow and evolve to match the changing passions and interests of its audience. Insider Inc. is home to 50+ content verticals, the #1 daily news show on Facebook, and we publish 16 global editions in 8 languages.
WeвЂ™re always growing, and weвЂ™re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</si>
  <si>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</si>
  <si>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</si>
  <si>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</si>
  <si>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</si>
  <si>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</si>
  <si>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</si>
  <si>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BattelleвЂ™s work is grounded in the belief that science, technology and a passion for excellence can make industries more competitive and the world a better place.
JOB SUMMARY
BattelleвЂ™s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yearsвЂ™ experience or BS with 5 yearsвЂ™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BattelleвЂ™s Legal Department.
BENEFITS
BattelleвЂ™s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</si>
  <si>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</si>
  <si>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</si>
  <si>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</si>
  <si>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</si>
  <si>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</si>
  <si>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</si>
  <si>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BachelorвЂ™s or MasterвЂ™s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вЂ“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</si>
  <si>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</si>
  <si>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</si>
  <si>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</si>
  <si>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</si>
  <si>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</si>
  <si>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firmвЂ™s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В­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</si>
  <si>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вЂ“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вЂ“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вЂ“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USPвЂ™s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</si>
  <si>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</si>
  <si>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BachelorвЂ™s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</si>
  <si>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</si>
  <si>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</si>
  <si>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</si>
  <si>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</si>
  <si>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</si>
  <si>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</si>
  <si>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</si>
  <si>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</si>
  <si>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</si>
  <si>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Г—
Send me alerts every days
alert frequency in every certain days
Create Alert
form.emailsubscribe-form {
display: none;
}
Г—
Send me alerts every days
alert frequency in every certain days
Share this Job
AddThis
Email
Facebook
Twitter
LinkedIn
Pinterest
Apply now В»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AbiomedвЂ™s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companyвЂ™s next generation of data-driven algorithms and creating AbiomedвЂ™s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AbiomedвЂ™s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В»
Find similar jobs:
Engineering &amp; R&amp;D
Apply now В»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AbiomedвЂ™s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companyвЂ™s next generation of data-driven algorithms and creating AbiomedвЂ™s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AbiomedвЂ™s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В»</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</si>
  <si>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</si>
  <si>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</si>
  <si>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</si>
  <si>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</si>
  <si>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</si>
  <si>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</si>
  <si>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</si>
  <si>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</si>
  <si>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</si>
  <si>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membersвЂ™ skills to complete complex projects/tasks, and solve abstract complex problems/ideas and convert them into useable algorithms/software modules.
Provide solutions that require in-depth analysis of multiple factors and the creative use of established methods.
Qualifications
BachelorвЂ™s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</si>
  <si>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</si>
  <si>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</si>
  <si>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</si>
  <si>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</si>
  <si>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BankвЂ™s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BankвЂ™s Diversity and Inclusion Strategic Plan; perform ad-hoc analysis to enhance understanding of identified metrics.
Conduct research to provide insight on BankвЂ™s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BachelorвЂ™s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</si>
  <si>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</si>
  <si>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</si>
  <si>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</si>
  <si>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</si>
  <si>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</si>
  <si>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</si>
  <si>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</si>
  <si>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</si>
  <si>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youвЂ™ll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Inc.вЂ™s employee referral policy program.
What makes you a great fit:
MasterвЂ™s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youвЂ™ll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</si>
  <si>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</si>
  <si>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</si>
  <si>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</si>
  <si>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</si>
  <si>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</si>
  <si>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</si>
  <si>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</si>
  <si>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</si>
  <si>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Г‚
We have an immediate need for Data Scientist Role @ San Francisco, CA. Please find the below Job Description for your kind reference.
Г‚
Duration: Long term Contract
Experience: 8+ Years
Rate: DOE$/hr.
Г‚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Г‚
If you are interested, please send us your updated resume along with best Time &amp; Number to reach you ASAP.
Г‚
Thanks and look forward to working with you,</t>
  </si>
  <si>
    <t>Trovetechs Inc</t>
  </si>
  <si>
    <t>Hillsborough, NJ</t>
  </si>
  <si>
    <t>$141K-$225K (Glassdoor est.)</t>
  </si>
  <si>
    <t>For many of our team members, this is more than a career. ItвЂ™s a calling. Oshkosh Corporation is home to thousands of difference-makers working together to build, serve and protect communities across the globe. As part of a People First culture, youвЂ™ll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BachelorвЂ™s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</si>
  <si>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</si>
  <si>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</si>
  <si>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</si>
  <si>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</si>
  <si>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</si>
  <si>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</si>
  <si>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</si>
  <si>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</si>
  <si>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</si>
  <si>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</si>
  <si>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</si>
  <si>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500В®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</si>
  <si>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industryвЂ™s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вЂ“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</si>
  <si>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</si>
  <si>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</si>
  <si>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вЂ“ this could be the place for you!
What YouвЂ™ll Do:
YouвЂ™ll develop models using a variety of statistical techniques, produce model prediction adjustments based on historical data and prepare reports outlining the testing and validation of each model. YouвЂ™ll develop robust and flexible processes for major analytical production tasks and create automated, fail-safe tools for standard analytical tasks such as predictive modeling, profiling and clustering. YouвЂ™ll also be responsible for:
вЂў Developing production ready code complete with error checking and assisting the IT department in developing automated scheduling and triggered execution.
вЂў Conducting research on industry trends/techniques and available data and partnerships вЂ“ evaluate this research to recommend changes to existing process and develop new ones
вЂў Providing statistical support for вЂњad-hocвЂќ analysis
вЂў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BachelorsвЂ™ degree required, MastersвЂ™ degree preferred in Statistics, Mathematics, Marketing or a related discipline and 5+ yearsвЂ™ statistical data analysis experience. In addition, we are looking for:
вЂў 5+ yearsвЂ™ experience in SAS/R/Python - Existing modeling and data analysis conducted with this tool with large amounts of automation
вЂў 3+ yearsвЂ™ experience in SQL
вЂў Solid grasp of probability, statistical and mathematical modeling with analytical and quantitative problem-solving ability
вЂў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вЂ“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</si>
  <si>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</si>
  <si>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</si>
  <si>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</si>
  <si>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customerвЂ™s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</si>
  <si>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</si>
  <si>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</si>
  <si>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</si>
  <si>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</si>
  <si>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</si>
  <si>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</si>
  <si>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</si>
  <si>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ElasticsearchвЂ™s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вЂў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</si>
  <si>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</si>
  <si>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YouвЂ™ll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WeвЂ™re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</si>
  <si>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</si>
  <si>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</si>
  <si>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</si>
  <si>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</si>
  <si>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</si>
  <si>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</si>
  <si>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</si>
  <si>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</si>
  <si>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</si>
  <si>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</si>
  <si>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</si>
  <si>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</si>
  <si>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вЂ¦then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weвЂ™ve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</si>
  <si>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</si>
  <si>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</si>
  <si>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</si>
  <si>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</si>
  <si>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</si>
  <si>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</si>
  <si>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</si>
  <si>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</si>
  <si>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ThatвЂ™s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TrueAccordвЂ™s automated debt collection strategies. You will also be the scientific face of TrueAccord to the outside world.
WeвЂ™re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youвЂ™re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</si>
  <si>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</si>
  <si>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</si>
  <si>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</si>
  <si>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</si>
  <si>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</si>
  <si>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</si>
  <si>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</si>
  <si>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</si>
  <si>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</si>
  <si>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</si>
  <si>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</si>
  <si>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</si>
  <si>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</si>
  <si>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</si>
  <si>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</si>
  <si>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</si>
  <si>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</si>
  <si>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вЂ“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</si>
  <si>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</si>
  <si>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</si>
  <si>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</si>
  <si>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</si>
  <si>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</si>
  <si>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вЂў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вЂў Contribute to the planning, preparing and delivering/coordinating all elements of the analysis in such a way that it is delivered on time, to a high standard through a validated proof of concept
вЂў Work closely with the internal enterprise analytics team to transfer knowledge to ensure the models can be validated, replicated and adjusted if needed.
вЂў Predictive models with written algorithms
вЂў Historical and accuracy reports
вЂў Model data set
вЂў Weekly status reports
Required Qualifications:
BachelorвЂ™s Degree in Applied Mathematics or Operational Research
Previous Experience
вЂў 1 - 5 years in Data Analytics
вЂў 1 - 3 years in Predictive Modeling
вЂў 1 - 3 years in Large Datasets
вЂў 1 - 3 years in relevant software
вЂў 1 - 3 years in Data Visualization
Skill Sets:
Analysis of business problems/needs
вЂў Analytical and Logical Reasoning/Thinking
вЂў Collaborative Problem Solving
вЂў Expertise with Machine Learning, Optimization, and Operational Research
вЂў Proficiency with scientific computing software such as Python, R, LINGO, etc.
вЂў Familiarity with database and ETL tools such as Yellowbrick, SQL, Alteryx, etc.
вЂў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</si>
  <si>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</si>
  <si>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</si>
  <si>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</si>
  <si>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</si>
  <si>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companyвЂ™s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</si>
  <si>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</si>
  <si>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Г‚
Title: Data Scientist
Length: 12+ month's contract
Location:Г‚Concord, CA
Г‚
Job Description:
Г‚
Г‚AtГ‚least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Г‚
Г‚
With Regards,
Г‚
NageeshГ‚GГ‚
Main:Г‚901-313-3066
Email:Г‚nagesh@conchtech.com
Web:Г‚www.conchtech.comГ‚</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</si>
  <si>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</si>
  <si>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</si>
  <si>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</si>
  <si>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</si>
  <si>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</si>
  <si>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</si>
  <si>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</si>
  <si>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</si>
  <si>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</si>
  <si>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</si>
  <si>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вЂњ22nd Century Technologies is an Equal Opportunity Employer" and вЂњUS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</si>
  <si>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</si>
  <si>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</si>
  <si>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</si>
  <si>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</si>
  <si>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</si>
  <si>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</si>
  <si>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</si>
  <si>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</si>
  <si>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</si>
  <si>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SponsorвЂ™s business analytics, metrics collection, and analysis efforts. The SponsorвЂ™s management team requires a data scientist to characterize the SponsorвЂ™s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SponsorвЂ™s enterprise metadata collection tools. The Contractor shall produce ad hoc metrics reports to answer immediate needs. The Contractor shall employ the SponsorвЂ™s existing coordination process.
Estimated Salary:
Position Level: Level 3 вЂ“ Senior
Salary Range: Up to $170,000.00 per year
B4Corp Estimated Salary Ranges:
Position Level Min Salary Max Salary
Level 1 вЂ“ Subject Matter Expert $160,000 $215,000
Level 2 вЂ“ Expert $140,000 $195,000
Level 3 вЂ“ Senior $110,000 $170,000
Level 4 вЂ“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ServicesвЂ™ native data science capabilities.
B4CORP Company Information
B4Corp is a small defense contracting company that focuses on providing an optimum environment for mission-focused, highly-skilled consultants to support the United States of AmericaвЂ™s intelligence community and other defense organizations. B4Corp provides a low overhead, highly efficient, high salary environment that allows employees to excel at meeting the clientвЂ™s needs. B4Corp is looking for information technology professionals that have a high sense of personal responsibility, self-motivation, and mission drive.
B4CorpвЂ™s dedication and care for its employees is reflected in the outstanding compensation and benefits B4Corp provides. Our salaries are second to none. B4CorpвЂ™s benefits reflect the companyвЂ™s policy of putting the employees first. Our health insurance demonstrates this with 100% employer coverage and providing employees with a plan that has $0 copay, 0% coinsurance and an HSA that can allow employees to accrue health savings for the future. B4CorpвЂ™s maximum flexibility comp / makeup time policy, along with the companyвЂ™s cafeteria-style benefit plan that allows employees to maximize their benefit dollars, reflects B4CorpвЂ™s commitment to its employees.
Compensation:
Outstanding Salaries
Retirement:
Full Vanguard 401k Plan вЂ“ Featuring a full scope of investment options
вЂ“ 100% employer matched contribution up to 6% of employeeвЂ™s salary
вЂ“ Ability to max out 401k savings $57k ($63.5k if over 50)
Employees receive B4Corp phantom stock each year (2-year vesting period)
Insurance 100% Employer-Paid Premiums:
United Health Care Choice Plus HSA POS Gold 1500 w/HSA
вЂ“ Employer funded HSA to cover 100% health care deductible
вЂ“ Health insurance: $0 copay, $0 co-insurance. Full scope protection for you and your family!
вЂ“ 100% employer premium coverage for single and family
Health Equity HSA вЂ“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вЂ“ More than 200 online IT courses on a large variety of topics, including networking, security, virtualization, and the cloud вЂ” from trusted vendors such as Cisco, Microsoft, and Google.
вЂ“ Train anytime, anywhere, and on a variety of devices вЂ“ even offline!
вЂ“ TranscenderВ® Practice Exams
вЂ“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</si>
  <si>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</si>
  <si>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</si>
  <si>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</si>
  <si>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</si>
  <si>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</si>
  <si>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</si>
  <si>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</si>
  <si>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</si>
  <si>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</si>
  <si>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вЂ“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ServicesвЂ™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donвЂ™t just accept differenceвЂ”we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</si>
  <si>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</si>
  <si>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</si>
  <si>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</si>
  <si>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в—Џ Conducts statistical modeling and experiment design, and tests and validates predictive models.
в—Џ Builds web prototypes and performs data visualization.
в—Џ Conducts scalable data research on and off the cloud.
в—Џ Develops customized algorithms to solve analytical problems with incomplete data sets, and implements automated processes for efficiently producing scale models. в—Џ Collaborates with database engineers and other scientists to develop, refine, and scale data management and analytics procedures, systems, workflows,
best practices, and other issues.
в—Џ Implements new or enhanced software designed to access and handle data more efficiently.
в—Џ Trains the data management team on new or updated procedures.
в—Џ Writes and implements quality procedures.
EDUCATION AND QUALIFICATIONS
в—Џ Four year degree in Computer Science, Statistics, Mathematics, or related discipline or an equivalent combination of education and experience in a similar position
в—Џ Strong skills and capabilities in at least one of the following areas of expertise:
в—‹ Probability and Statistics
в—‹ Programming experience with Python, R, SQL
в—‹ Data Wrangling and Database Management
в—‹ Ability to provide Data Visualizations, Reports and Conclusion analysis, as well as effective communication and presentations
в—‹ Experience with Machine Learning / Deep Learning is a plus
в—Џ Technical certification and licensing as required
в—Џ Understanding of GIT and Source Control practices is a plus
в—Џ Knowledge of Geographic Information Systems concepts is a plus
в—Џ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</si>
  <si>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</si>
  <si>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</si>
  <si>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</si>
  <si>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</si>
  <si>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</si>
  <si>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</si>
  <si>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BachelorвЂ™s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</si>
  <si>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</si>
  <si>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</si>
  <si>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</si>
  <si>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</si>
  <si>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</si>
  <si>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вЂњmaking the recently possible mission-practical.вЂќ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computingвЂ”areas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multi-taskingвЂ“sometimes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вЂњWhy Carnegie MellonвЂќ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</si>
  <si>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</si>
  <si>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</si>
  <si>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</si>
  <si>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</si>
  <si>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</si>
  <si>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BachelorвЂ™s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</si>
  <si>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Г‚ Develop SQL and Python queries to analyze the completeness and quality of key data elements in StreetSmart, including demographics, caseload history, mental illness diagnoses, and substance abuse details
Г‚ Develop and monitor a data cleaning prioritization plan, working with a data analyst dedicated to data cleaning
Г‚ Manipulate and analyze administrative data in order to predict outcomes and make data-driven recommendations
Г‚ Apply statistical and data mining techniques to conduct performance audits, trend analysis, and predictive analytics using StreetSmart data
Г‚ Collaborate with team members to develop novel strategies for technical analysis
Г‚ Evaluate ethical implications of design choices for predictive analytics models and automated decision support systems
Г‚ Create and present compelling reports to stakeholders based upon project findings and methods
Г‚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</si>
  <si>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</si>
  <si>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</si>
  <si>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</si>
  <si>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DataвЂ™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MasterвЂ™s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</si>
  <si>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</si>
  <si>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</si>
  <si>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</si>
  <si>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</si>
  <si>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</si>
  <si>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DigitalВ®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ItвЂ™s on you. You &amp;
Western Digital.
WeвЂ™ve been
storing the worldвЂ™s data for more than 50 years. Once, it was the most
important thing we could do for data. Now weвЂ™re helping the world capture,
preserve, access and transform data in a way only we can.
The most game-changing companies,
consumers, professionals, and governments come to us for the technologies and
solutions they need to capture, preserve, access, and transform their data.
But we canвЂ™t do it alone. TodayвЂ™s
exceptional data challenges require your exceptional skills. ItвЂ™s You &amp; Us.
Together, weвЂ™re the next big thing in data.
Western
DigitalВ® data-centric solutions are found under the G-Technologyв„ў, HGST,
SanDiskВ®, Tegileв„ў, Upthereв„ў, and WDВ®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personвЂ™s gender identity, gender expression,
and gender-related appearance and behavior, whether or not stereotypically
associated with the personвЂ™s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</si>
  <si>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</si>
  <si>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</si>
  <si>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</si>
  <si>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</si>
  <si>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</si>
  <si>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вЂў You should have advanced experience with building Machine Learning models.
вЂў Master's or Ph.D. in a quantitative or computational field.
вЂў It's a "plus" if you have management experience or experience building a data science team.
Compensation
вЂў $275,000 - $325,000 total compensation
вЂў Medical, Dental, and Vision Coverage
вЂў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</si>
  <si>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</si>
  <si>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SponsorвЂ™s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вЂњrow-levelвЂќ or вЂњcell-levelвЂќ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(GoogleвЂ™s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donвЂ™t do things because вЂњthatвЂ™s the way weвЂ™ve always done thingsвЂќ; we listen to our employees and adapt to the changing marketplace. We look at the big picture and encourage our engineers to get training and certifications in emerging technologies that will help shape our customerвЂ™s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</si>
  <si>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</si>
  <si>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</si>
  <si>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</si>
  <si>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</si>
  <si>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</si>
  <si>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вЂўPossess a BS degree in computer science, statistics, applied math, engineering, physics, or a related discipline AND a MS Degree in Engineering Management, Systems Engineering, Decision Science, Data Science, or related discipline
вЂўHave 10 years of experience in the defense industry
вЂўHave an in-depth understanding of decision making best practices for complex, engineered systems in the defense domain
вЂўHave experience creating informative data visualizations
вЂўAre willing and able to travel to meetings and sponsor sites
вЂўAbility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вЂўPossess a PhD in Engineering Management, Systems Engineering, Decision Science, or Data Science
вЂўHave 15 years of experience in the defense industry, interacting with senior leaders, mission analysts, cost analysts, and technologists
вЂўHave a team-player mindset with strong interpersonal and influencing skills
вЂўPossess strong written and oral communication skills with a track record of high quality publications and public speaking engagements - effective in a large audience or small group setting
вЂўHave excellent problem solving skills even when problems are messy and unstructured
вЂўHave the proven capability to resolve ambiguity, spark creativity, and manage complexity
вЂўHave experience creating graphical user interfaces and dashboards
вЂўHave experience managing large data sets
вЂўHave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</si>
  <si>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</si>
  <si>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</si>
  <si>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</si>
  <si>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worldвЂ™s roads and drivers safer. Since its first product launch in 2012 that pioneered mobile usage-based insurance, CMT has become the worldвЂ™s leading telematics and analytics provider for insurers, rideshares, and fleets. CMTвЂ™s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</si>
  <si>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</si>
  <si>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</si>
  <si>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youвЂ™ve got entrepreneurial spirit and passion, are driven by results, and want to be a part of significant growth, weвЂ™re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masterвЂ™s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clientsвЂ™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clientsвЂ™ business challenges and improve clientsвЂ™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clientsвЂ™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вЂ“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yearsвЂ™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</si>
  <si>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</si>
  <si>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</si>
  <si>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</si>
  <si>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</si>
  <si>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</si>
  <si>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</si>
  <si>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</si>
  <si>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SponsorвЂ™s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</si>
  <si>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MasterвЂ™ s degree
OR
BachelorвЂ™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</si>
  <si>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</si>
  <si>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</si>
  <si>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</si>
  <si>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</si>
  <si>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</si>
  <si>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</si>
  <si>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</si>
  <si>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</si>
  <si>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</si>
  <si>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</si>
  <si>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</si>
  <si>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</si>
  <si>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</si>
  <si>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</si>
  <si>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</si>
  <si>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</si>
  <si>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</si>
  <si>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</si>
  <si>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</si>
  <si>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</si>
  <si>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</si>
  <si>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</si>
  <si>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</si>
  <si>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</si>
  <si>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</si>
  <si>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</si>
  <si>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</si>
  <si>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</si>
  <si>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</si>
  <si>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</si>
  <si>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</si>
  <si>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</si>
  <si>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</si>
  <si>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</si>
  <si>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</si>
  <si>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</si>
  <si>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</si>
  <si>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</si>
  <si>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</si>
  <si>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</si>
  <si>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</si>
  <si>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</si>
  <si>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</si>
  <si>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</si>
  <si>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</si>
  <si>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withвЂЇactionableвЂЇinsights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GutCheckвЂЇis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</si>
  <si>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</si>
  <si>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BiogenвЂ™s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R&amp;DвЂ™s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вЂ“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BiogenвЂ™s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</si>
  <si>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</si>
  <si>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BachelorвЂ™s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вЂњanalytic translatorвЂќ.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</si>
  <si>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</si>
  <si>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</si>
  <si>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</si>
  <si>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</si>
  <si>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</si>
  <si>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</si>
  <si>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</si>
  <si>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BachelorвЂ™s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PharmaвЂ™s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вЂ“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</si>
  <si>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</si>
  <si>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</si>
  <si>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</si>
  <si>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</si>
  <si>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</si>
  <si>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</si>
  <si>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</si>
  <si>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</si>
  <si>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</si>
  <si>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</si>
  <si>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</si>
  <si>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</si>
  <si>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</si>
  <si>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</si>
  <si>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</si>
  <si>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</si>
  <si>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</si>
  <si>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</si>
  <si>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вЂў We hold ourselves accountable to the highest standards of integrity and ethics.
Customer Success вЂў We strive daily to exceed expectations and achieve customer mission success.
Employee Focus вЂў We invest in our employees' professional development and training, respecting individuality and fostering a culture of diversity and inclusion.
Innovation вЂў We know that discovering new and innovative ways to solve problems is critical to our success and makes us a great company.
Excellence in Execution вЂў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</si>
  <si>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</si>
  <si>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youвЂ™re passionate about.
WhatвЂ™s Important to You Is Important to Us
WeвЂ™re looking for people who not only want to do meaningful, challenging work, keep their skills sharp and move ahead, but who also take time for the things that matter to themвЂ”friends, family and passions. And we're looking for team members who are passionate about our missionвЂ”making a difference in military members' and their families' lives. Together, we can make it happen.
DonвЂ™t take our word for it.
FORTUNE 100 Best Companies to Work ForВ®
ComputerworldВ® Best Places to Work in IT
FORTUNEВ® Best Workplaces for Millennials
ForbesВ® AmericaвЂ™s Best Employers
PEOPLEВ® Companies That Care
IND123
Basic Purpose
Responsibilities:
вЂў Provide Business Intelligence (BI) and Data Warehousing (DW) solutions and support by leveraging project standards and leading analytics platforms
вЂў Evaluate and define functional requirements for BI and DW solutions
вЂў Define and build data integration processes to be used across the organization
вЂў Build conceptual and logical data models for stakeholders and management
вЂў Analyze and validate data accuracy of report results
вЂў Work directly with management understand requirement; and propose and develop best business solution that enables effective decision-making, and drive business objectives
вЂў Prepares realistic project implementation plans which highlight major milestones and deliverables leveraging standard methods and work planning tools
вЂў Recognizes potential issues and risks during the analytics project implementation and can suggest realistic mitigation strategies
вЂў Coaches and mentors project team members in carrying out analytics project implementation activities
вЂў Leads the preparation of high quality project deliverables that are valued by the business and presents them in such a manner that they are easily understood by project stakeholders
вЂў Interpreting data presented in models, charts, and tables and transforming it into a format that is useful to the business and aids effective decision making
вЂў Use of statistical practices to analyze current and historical data to make predictions, identify risks, and opportunities enabling better decisions on planned/future events
вЂў The ability to understand the business problem and determine what aspects of it require optimization; articulate those aspects in a clear and concise manner
вЂў The ability to define and analyze models that predict the probability of an outcome
вЂў Offers improvements to the way in which analytics service the entire function
вЂў Communicating and owning the process in manipulating and merging large datasets
вЂў Ability to view and understand other project or functional areas in order to consolidate analytical needs and processes
вЂў Being a key point of contact between the data analyst/data scientist and the project/functional analytics leads
вЂў Perform other duties as assigned
Qualifications and Education Requirements:
вЂў Bachelor's degree in Information Systems, Computer Science, Engineering, or related field, or the equivalent combination of education, training and experience
вЂў 5 yearsвЂ™ experience working in a cloud computing with Azure experience required
вЂў Experience with data migration to cloud based environment
вЂў Extensive 5 years of experience in providing data architecture solutions for Cloud applications
вЂў Knowledge of and the ability to perform basic statistical analysis such as measures of central tendency, normal distribution, variance, standard deviation, basic tests, correlation, and regression techniques
вЂў Experienced in the use of standard ETL tools and techniques
вЂў Experienced in sourcing, maintaining, and updating data
вЂў Understanding of data warehousing, data cleaning, data pipelines and other analytical techniques required for data usage
вЂў Demonstrates functional knowledge of data visualization tools such as Microsoft Power BI, Tableau
вЂў Has working knowledge of various data structures and the ability to manipulate data within visualization tools
вЂў Ability to manipulate raw data into effective visualization dashboards
вЂў Ability to communicate end to end data outcomes visually
вЂў Demonstrates a deep understanding of multiple database concepts
вЂў Has a working knowledge of various data structures and the ability to extract data from various data sources (such as Cognos, Informatica)
вЂў Understands the concepts and application of data mapping and building requirements
вЂў Optimal understanding of SQL
Desired Qualifications and Education Requirements:
вЂў Graduate education in Information Systems, Computer Science, Engineering, or related field
вЂў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</si>
  <si>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</si>
  <si>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</si>
  <si>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</si>
  <si>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companyвЂ™s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в‰€75% of time; sitting в‰€25%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CompanyвЂ™s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</si>
  <si>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</si>
  <si>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</si>
  <si>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</si>
  <si>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В· Collaborate with stakeholders to understand, define, and document business questions needs (metrics, dimensions, charts, and dashboards).
В· Create and collect feedback on data visualizations (reports/dashboards) to bring insight and answers to business problems/KPIs.
В· Serve as primary report writer for all business units.
В· Responsible for recurring monthly, weekly, daily, and ad hoc reporting needs.
В· Collect and interpret data from multiple sources, both internal&amp; external.
В· Develop, create, analyze and distribute management reports as required.
Position Requirements:
В· Education: BachelorвЂ™s degree in business, computer science, statistics, mathematics or related field.
В· License/Certification: N/A
В· Relevant Work Experience: Minimum of 4-5 yearsвЂ™ experience as a reporting or data analyst, reports writer or similar role with a strong understanding of SQL and data modeling.
В· 4+ yearsвЂ™ experience with ETL, Data Modeling, Data Warehousing and SSAS preferred
В· 4+ yearsвЂ™ experience with contemporary data visualization technology (Power BI, Tableau, Qlik Sense, etc.) preferred
В· 4+ yearsвЂ™ experience with Excel preferred
В· Healthcare experience is preferred
В· Skills:
В· Extract data and create reports using tools such as SQL, SSIS, SSRS, Excel, or Access
В· Ability to tell stories using data&amp; visualizations
В· Plan, design and build ETL solutions for the Data Warehouse
В·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</si>
  <si>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</si>
  <si>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</si>
  <si>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</si>
  <si>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WeвЂ™re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otherвЂ™s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youвЂ™ll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</si>
  <si>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</si>
  <si>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</si>
  <si>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</si>
  <si>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</si>
  <si>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</si>
  <si>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</si>
  <si>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BachelorвЂ™s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</si>
  <si>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</si>
  <si>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weвЂ™ll change the narrative around highly lethal cancers like Glioblastoma, where standard treatment offers no hope.
NavioвЂ™s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</si>
  <si>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</si>
  <si>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</si>
  <si>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SAIвЂ™s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clientвЂ™s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</si>
  <si>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</si>
  <si>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</si>
  <si>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</si>
  <si>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</si>
  <si>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</si>
  <si>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yearsвЂ™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MasterвЂ™s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WeвЂ™re lucky enough to recruit the best candidates into the most exciting companies all over the United States. We deliver performance.</t>
  </si>
  <si>
    <t>PROPRIUS
5.0</t>
  </si>
  <si>
    <t>Position: Data Scientist
Location: San Ramon, CA Гў must work onsite
Position Type:Г‚Direct-hire - Full-time
Interview: Phone then face to face
Salary range: $130K - $170K
Г‚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BachelorГўs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</si>
  <si>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</si>
  <si>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</si>
  <si>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</si>
  <si>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</si>
  <si>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</si>
  <si>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</si>
  <si>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</si>
  <si>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</si>
  <si>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</si>
  <si>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вЂ” from fraud detection to cancer research, to national intelligence вЂ” you know the answers are in the data.
We have an opportunity for you to use your analytical skills to improve the DoD and federal agencies. YouвЂ™ll work closely with your customer to understand their questions and needs, then dig into their data-rich environment to find the pieces of their information puzzle. YouвЂ™ll develop algorithms, write scripts, build predictive analytics, use automation, and apply machine learning to turn disparate data points into objective answers to help our nationвЂ™s services and leaders make data-driven decisions. YouвЂ™ll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weвЂ™re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BowlвЂ”the worldвЂ™s premier data science for social good competition
participation in partnerships with data science leaders, like our partnership with NVIDIA to deliver Deep Learning Institute (DLI) training to the federal government.
YouвЂ™ll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WeвЂ™ll help you develop the career you want as you chart your own course for success.
WeвЂ™re an EOE that empowers our peopleвЂ”no matter their race, color, religion, sex, gender identity, sexual orientation, national origin, disability, veteran status, or other protected characteristicвЂ”to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</si>
  <si>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</si>
  <si>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</si>
  <si>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</si>
  <si>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worldвЂ™s toughest challenges, weвЂ™re putting the industryвЂ™s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magazineвЂ™s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ThatвЂ™s pretty cool for a firm that started as a small engineering consulting shop back in 1898.
At Burns &amp; McDonnell, youвЂ™ll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</si>
  <si>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</si>
  <si>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</si>
  <si>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</si>
  <si>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Г‚
Who are we looking for?
Looking for Data Scientist resource - Who has Sound knowledge in the product support and implementation
Г‚
Technical Skills:
5+ years of hands-on experience as a Data Scientist with Гў
Гў Undertaking data collection, preprocessing and analysis
Гў Building models to address business problems
Гў Presenting information using data visualization techniques
Гў Experience in data mining, business intelligence tools, data frameworks
Гў Understanding of machine-learning and operations research
Гў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</si>
  <si>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</si>
  <si>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</si>
  <si>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</si>
  <si>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</si>
  <si>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</si>
  <si>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</si>
  <si>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В· 8+ years of experience as a data scientist.
В· Strong skills for mining data, assessing the accuracy and insights from new data sources.
В· Work with stakeholders to understand data challenges and opportunities
В· Experience building Machine Learning models for predictive analytics, and NLP.
В· Understanding of Deep Learning models is a plus
В· Experience with SQL
В· Master in Statistics, Computer Science, or other STEM field. Ph.D. is a plus.
В· Knowledge of advanced statistics and hypothesis testing
В· Python, Pandas, Numpy, Scikit coding skills
В· Data visualization with Matplotlib, and Seaborn
В· Experience with at least one cloud data technology GCP, AWS, Azure
В· Experience with Spark, and Hadoop is a plus.
В· Effective at telling stories with data.
В· Excellent written and verbal communication skills
В· Creative drive to try data tools, and explore and discover insights from data
В·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</si>
  <si>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</si>
  <si>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</si>
  <si>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</si>
  <si>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</si>
  <si>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</si>
  <si>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</si>
  <si>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</si>
  <si>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</si>
  <si>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</si>
  <si>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ArmyвЂ™s Research and Development community by maximizing the value of data.
Duties:
Assist in the development of computing and network infrastructure and software to support Army AI/ML efforts
Working with the ArmyвЂ™s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BachelorвЂ™s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</si>
  <si>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</si>
  <si>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DataLabвЂ™s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вЂ“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</si>
  <si>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</si>
  <si>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</si>
  <si>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</si>
  <si>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</si>
  <si>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</si>
  <si>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</si>
  <si>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</si>
  <si>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</si>
  <si>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</si>
  <si>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</si>
  <si>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</si>
  <si>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</si>
  <si>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</si>
  <si>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</si>
  <si>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</si>
  <si>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</si>
  <si>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FirstВ® . Created by farmers, for farmers, Farmers Business Networkв„  (FBNв„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etcвЂ¦).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</si>
  <si>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</si>
  <si>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</si>
  <si>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</si>
  <si>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</si>
  <si>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</si>
  <si>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</si>
  <si>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</si>
  <si>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</si>
  <si>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</si>
  <si>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</si>
  <si>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</si>
  <si>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</si>
  <si>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</si>
  <si>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</si>
  <si>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</si>
  <si>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</si>
  <si>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</si>
  <si>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</si>
  <si>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</si>
  <si>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</si>
  <si>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</si>
  <si>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</si>
  <si>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</si>
  <si>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</si>
  <si>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needs.**_Benefits_**вЂў Parental Bonding/Maternity LeaveвЂў Paid Care LeaveвЂў Healthcare, Dental and VisionвЂў Flexible Work HoursвЂў Adoption and Surrogacy Assistance ProgramвЂў Employee DiscountsвЂў Worldwide Diversity &amp; Inclusion and Business Resource GroupsвЂў Employee Stock Purchase PlanвЂў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</si>
  <si>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</si>
  <si>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</si>
  <si>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</si>
  <si>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</si>
  <si>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</si>
  <si>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</si>
  <si>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</si>
  <si>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</si>
  <si>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</si>
  <si>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</si>
  <si>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</si>
  <si>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</si>
  <si>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</si>
  <si>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</si>
  <si>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</si>
  <si>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</si>
  <si>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</si>
  <si>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</si>
  <si>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</si>
  <si>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</si>
  <si>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</si>
  <si>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</si>
  <si>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</si>
  <si>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</si>
  <si>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</si>
  <si>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</si>
  <si>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</si>
  <si>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</si>
  <si>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</si>
  <si>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</si>
  <si>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</si>
  <si>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</si>
  <si>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</si>
  <si>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FLEETCORвЂ™s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вЂњwin-winвЂќ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вЂ“ FLEETCOR is one of the 250 fastest growing companies in the world as determined by Forbes and Statista
Forbes WorldвЂ™s Most Innovative Companies вЂ“ FLEETCOR has made this prestigious list of leading innovative companies 4 years in a row!
Fortune 1000 Company вЂ“ FLEETCOR was one of the largest movers in the new rankings of the largest companies in America, rising 92 spots to #896
S&amp;P 500 вЂ“ In 2018, FLEETCOR joined the S&amp;P stock index comprised of the 500 leading US stocks based on market cap (company value)
FLEETCOR has a culture founded on integrity, collaboration, innovation, execution and people. This offers each employee the opportunity to вЂthrive &amp; growвЂ™ thru career development, volunteer, community and wellness initiativesвЂ¦allowing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</si>
  <si>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</si>
  <si>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</si>
  <si>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</si>
  <si>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AwareВ® of America, our nationвЂ™s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ofвЂЇcolor;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organizationвЂ™s mission. She/he/they will determine project design, and be essential in identifying solutions to complex data problems that will enhance the teamвЂ™s ability to access data and new analytical tools. The Data Scientist will ensure that CCAoAвЂ™s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yearsвЂ™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</si>
  <si>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</si>
  <si>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</si>
  <si>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</si>
  <si>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ResponsibilitiesВ·
Analyze large datasets to glean actionable insights and identify emerging opportunitiesВ·
Create metrics to measure the success of products, services, and features.В·
Use data mining and machine learning skills to design and develop products which drive engagement, growth, retention, and monetization.В·
Develop and deploy scalable classification, regression, ranking, and optimization algorithms.В·
Work with data engineers and other stakeholders in data products pipeline to enable automation of the data-driven products.В·
Communicate both routine and ad-hoc data analysis results in a clear, insightful and actionable way.
Minimum Qualifications В·
BA/BS in Statistics, Computer Science, Math or other related technical fields.В·
2+ years prior research, data science, or engineering experience in building and implementing recommender systems, machine learning models/algorithms, etc.В·
Excellent programming skills - ability to prototype effective simple or complex algorithms and collaborate with engineering team to implement them in the production systemВ·
Familiarity with or willingness to learn large-scale distributed computing tools (Hadoop, Hive, etc.)
Preferred Qualifications В·
PhD or MSc degrees in Statistics, Computer Science, Math or other related technical field. В·
Proficient in R or Python. В·
Familiar with or have contributed to open source machine learning tools/platforms.В·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</si>
  <si>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</si>
  <si>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</si>
  <si>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</si>
  <si>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</si>
  <si>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</si>
  <si>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</si>
  <si>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</si>
  <si>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MasterвЂ™s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</si>
  <si>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</si>
  <si>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</si>
  <si>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</si>
  <si>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PragmaticsвЂ™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BachelorвЂ™s Degree in a quantitative or technical field of study, such as Statistics, Mathematics, Computer Science, or Geospatial Information Systems
3 yearsвЂ™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yearsвЂ™ experience developing scripts, APIs, and/or programs using 1 or more of the following: C++, Java, Shell, Perl, Python
3 yearsвЂ™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</si>
  <si>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</si>
  <si>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</si>
  <si>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вЂњbig dataвЂќ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BachelorвЂ™s Degree in Mathematics, Physics, Economics or Computer Science, or equivalent experience. MasterвЂ™s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laymenвЂ™s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</si>
  <si>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</si>
  <si>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</si>
  <si>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</si>
  <si>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</si>
  <si>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</si>
  <si>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</si>
  <si>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вЂ” but our future is going to spark many more. Our brands вЂ” Gap, Banana Republic, Old Navy, Athleta, INTERMIX and Hill City вЂ” have dressed people from all walks of life and all kinds of families, all over the world, for every occasion for more than 50 years.
But weвЂ™re more than the clothes that we make. We know that business can and should be a force for good, and itвЂ™s why we work hard to make product that makes people feel good, inside and out. ItвЂ™s why weвЂ™re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вЂњon the clockвЂќ hours each month to volunteer at a charity of their choice.*
Extensive 401(k) plan with company matching for contributions up to four percent of an employeeвЂ™s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</si>
  <si>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</si>
  <si>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</si>
  <si>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</si>
  <si>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</si>
  <si>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</si>
  <si>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</si>
  <si>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BachelorвЂ™s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</si>
  <si>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</si>
  <si>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</si>
  <si>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Г‚
Г‚
Sl.No
Skill
Years Of Experience
1
Г‚
Г‚
2
Г‚
Г‚
Г‚
Г‚
Г‚
Г‚
Г‚
Г‚
Г‚</t>
  </si>
  <si>
    <t>New York Technology Partners
4.0</t>
  </si>
  <si>
    <t>Title: Data Scientist
Location: Chicago or North NJ (near Newark) (Multiple Openings)
Job Type: Full Time/ Contract to Hire
Salary: Open
Requirements:
вЂў Minimum 5-10 years of hands-on experience with statistical software tools: SQL, R, Python
вЂў 3+ years- experience in business analytics, forecasting or business planning with emphasis on analytical modeling, quantitative reasoning and metrics reporting
вЂў Experience working with large data sets in order to extract business insights or build predictive models
вЂў Proficiency in one or more statistical tools/languages - Python, Scala, R SPSS or SAS and related packages like Pandas, SciPy/Scikit-learn, NumPy etc.
вЂў Good data intuition / analysis skills; sql, plsql knowledge must
вЂў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</si>
  <si>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</si>
  <si>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</si>
  <si>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yearsвЂ™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</si>
  <si>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</si>
  <si>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BachelorвЂ™s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</si>
  <si>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</si>
  <si>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</si>
  <si>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</si>
  <si>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</si>
  <si>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</si>
  <si>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</si>
  <si>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вЂ“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MasterвЂ™s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</si>
  <si>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</si>
  <si>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</si>
  <si>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</si>
  <si>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</si>
  <si>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</si>
  <si>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</si>
  <si>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</si>
  <si>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</si>
  <si>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boxвЂќ to combine multiple possibly unrelated solutions to solve a single complex problem</t>
  </si>
  <si>
    <t>Blue Horizon Tek Solutions
5.0</t>
  </si>
  <si>
    <t>Coconut Creek, FL</t>
  </si>
  <si>
    <t>NO OPT CPT pls.
Г‚
Need local toГ‚Bay Area, CA or Seattle, WA only ( Please double check and verify before submission)
Г‚
Job Description for Data Scientist
Г‚
5 to 7 years of experience as a data scientist.
Strong skills for mining data, assessing the accuracy and insights from new data sources.
Work with stakeholders to understand data challenges and opportunities
Experience building Machine Learning models for predictive analytics, andГ‚NLP. Understanding ofГ‚Deep Learning models is a plus
Experience with SQL
Master in Statistics, Computer Science, or other STEM field.Г‚Ph.D.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Г‚
Г‚
Sl.No
Skill
Years Of Experience
1
Г‚
Г‚
2
Г‚
Г‚
3
Г‚
Г‚
4
Г‚
Г‚
Г‚
Г‚
Г‚
Please send resumes to bchinteedi@esharpedge.com /Г‚630-869-0089
Г‚
Г‚
Г‚
Г‚</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</si>
  <si>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</si>
  <si>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</si>
  <si>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вЂў Usage of knowledge from computer science to manipulate and process complex research and medical data in support of biomedical research protocols.
вЂў Usage of data management to capture information pertaining to biological and cellular activities based on molecular biology or related research.
вЂў Consult and collaborate with basic science and clinical research groups within BAMC, the Institute of Surgical Research (ISR), universities and private sector research facilities to facilitate the gathering and sharing of relevant intellectual knowledge, expertise, and data.
вЂў Expert knowledge of and skill in applying statistical formulas to recommend data quality program changes or using the statistics for interpreting and making changes to existing health policies.
вЂў Provide consulting support for study design and statistical analysis; with limited or extensive consultations and proposal development
вЂў Provide Protocol review and editing, with limited or extensive consultations and proposal development
.вЂў Produce systematic documentation to ensure reproducibility of process and data analyses.
вЂў Produce professional documentation in support of data analysis and provide
вЂў Provide Statistical Analysis Plan (SAP) writing, with limited or extensive consultations and proposal development.
вЂў Provide Dataset Management Consultation, with limited or extensive consultations and proposal development. вЂў Provide Data Validity Reporting, with limited or extensive consultations and proposal вЂў Provide Table Generation not limited to the following Table types: Demographics, Efficacy, Safety, Disposition and Experimental Results
вЂў Provide Hypothesis Testing, with limited or extensive consultations and proposal development.
вЂў Provide Result Reporting and Graphic Generation, with limited or extensive consultations and proposal development.
вЂў Provide Post Hoc Analysis and Post Hoc Analysis Reporting, with limited or extensive consultations and proposal development.
вЂў Provide Poster Creation and Manuscript Reviews, with limited or extensive consultations and proposal development.
REQUIRED SKILLS AND EXPERIENCE:
вЂў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вЂў Specialized knowledge of advanced mathematics, statistics and statistical theory, concepts, and principles, physiology, genetics, chemistry, biology, microbiology, computational biology and genomics to provide consultative and/or advisory services.
вЂў Must have expert level skills in one or more of the following: Python, R, SQL, SAS, and Mathematica. вЂў Demonstrated ability to provide accurate and timely analytical products containing well reasoned and cogent discussion points providing leadership with substantiated options or courses of action
. вЂў Experience and skills with advanced data and database management, e.g. capability of collecting, organizing and analyzing large amounts of data, computer science skills, and software programming
. вЂў Must have experience in data mining. вЂў Ability to use and develop software tools to generate useful genomic information and analyze genomic sequencing data.
вЂў Must have strong analytical and quantitative skills, strong oral and written communication skills, and accustomed to working both independently and collaboratively.
вЂў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KЕ«pono Government Services, and Kapili Services, Po`okela Solutions, KД«kaha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</si>
  <si>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</si>
  <si>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</si>
  <si>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</si>
  <si>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</si>
  <si>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</si>
  <si>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</si>
  <si>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</si>
  <si>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</si>
  <si>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</si>
  <si>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ScientistГ‚
Location: Washington, DC (This role is 100% remote now but will be on site Mon-Fri in Washington, DC once its safe toГ‚return to work from COVID)
Duration: Long Term
EXP: 10+ Years
Г‚
MUST HAVE SKILLS FROM THE MANAGER:
-Analytics and data mining + machine learning. claim and member project.
-Healthcare experience is a must
-Python or R or Java or SQL a must
-Need to be able to develop and code.
Г‚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Г‚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Г‚
DevOps.
-History of solving difficult problems using a scientific approach highly preferred.
-Ability to communicate and present the work effectively and influence others.
-Ability to work in a fast paced environment and shift gears quickly.
Г‚
Г‚
Г‚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</si>
  <si>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</si>
  <si>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</si>
  <si>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</si>
  <si>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nationвЂ™s most complex threats and challenges. As a small business weвЂ™re committed to supporting our clientsвЂ™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</si>
  <si>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</si>
  <si>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</si>
  <si>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</si>
  <si>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</si>
  <si>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</si>
  <si>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</si>
  <si>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</si>
  <si>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</si>
  <si>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</si>
  <si>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</si>
  <si>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</si>
  <si>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</si>
  <si>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</si>
  <si>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</si>
  <si>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</si>
  <si>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вЂ“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</si>
  <si>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</si>
  <si>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вЂ” $1 trillion in the US alone вЂ”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вЂ“ one of the largest in the U.S. вЂ“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</si>
  <si>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</si>
  <si>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AssociateвЂ™s degree in Engineering, Computer Science, Information Systems, Business, Mathematics, or Management related disciplines plus four (4) years of additional work experience performing the duties similar to the Experience Requirements below may be substituted for a BachelorвЂ™s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</si>
  <si>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</si>
  <si>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</si>
  <si>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</si>
  <si>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LinkГ¶ping,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</si>
  <si>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</si>
  <si>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</si>
  <si>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</si>
  <si>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</si>
  <si>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</si>
  <si>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</si>
  <si>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ChicagoвЂ™s fastest-growing startups, weвЂ™ve made the CrainвЂ™s Business Chicago Fast 50 (#4 in 2019) and the Deloitte Technology Fast 500 (twice), and weвЂ™ve ranked in the top 10% of the Inc. 500 four years in a row!
OppLoans is a team of caring and inventive вЂњOpptimistsвЂќ with diverse perspectives and backgrounds. OppLoans employees approach every new challenge with an unparalleled ability to see what could be rather than settle for what is. We want people to be excited to come to work every morning and know they are a part of something great. ThatвЂ™s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customerвЂ™s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BachelorвЂ™s degree in Computer Science, Financial Engineering, Statistics, Operations Research, or related quantitative field, or foreign equivalent and 2 years of related experience. In the alternative, we will accept a MasterвЂ™s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вЂњOpptimistsвЂќ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OppLoansвЂ™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</si>
  <si>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</si>
  <si>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</si>
  <si>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</si>
  <si>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clientвЂ™s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MasterвЂ™s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abilityвЂ”or unable to useвЂ”the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BrillientвЂ™s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</si>
  <si>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</si>
  <si>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</si>
  <si>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BachelorвЂ™s degree
Experience
BachelorвЂ™s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veteransвЂ™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</si>
  <si>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</si>
  <si>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</si>
  <si>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</si>
  <si>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</si>
  <si>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вЂ“ having sat in our clientsвЂ™ seats. Those qualities are what make us different than old-school consulting shops. And surely, they are why clients and partners describe us as вЂњthe gold standard in client experience.вЂќ
Infinitive has been named a вЂњBest Small Firms to Work ForвЂќ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</si>
  <si>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</si>
  <si>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</si>
  <si>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вЂ” $1 trillion in the US alone вЂ”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вЂ“ one of the largest in the U.S. вЂ“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</si>
  <si>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</si>
  <si>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YouвЂ™ll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etc.)вЂ”all while maintaining the energy, agility and fun of a start-up.
About Us
New Relic (NYSE: NEWR) is the industryвЂ™s largest and most comprehensive cloud-based instrumentation platform built to create more perfect software. The worldвЂ™s best software and DevOps teams rely on New Relic to move faster, make better decisions and create best-in-class digital experiences. If you run software, you need to run New Relic. WeвЂ™re proudly trusted by more than 50% of the Fortune 100.
Founded in 2008, weвЂ™re a global company focused on building a culture where all employees feel a deep sense of belonging, where every вЂRelicвЂ™ can bring their whole self to work and feel supported and empowered to thrive. WeвЂ™re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customersвЂ™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</si>
  <si>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</si>
  <si>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</si>
  <si>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</si>
  <si>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MasterвЂ™s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environmentвЂ“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</si>
  <si>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</si>
  <si>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</si>
  <si>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</si>
  <si>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</si>
  <si>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</si>
  <si>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</si>
  <si>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</si>
  <si>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weвЂ™ve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</si>
  <si>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</si>
  <si>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</si>
  <si>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enforcementвЂ™s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youвЂ™ll doвЂ¦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YouвЂ™d be a great fit ifвЂ¦
You have a BachelorвЂ™s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ItвЂ™d be even better if youвЂ¦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youвЂ™ll getвЂ¦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weвЂ™re at the forefront of delivering the next breakthrough in national security, every day. WeвЂ™re the partner of choice to help solve some of the worldвЂ™s most daunting challenges. How? By thinking differently. WeвЂ™re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canвЂ™t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</si>
  <si>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</si>
  <si>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</si>
  <si>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</si>
  <si>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</si>
  <si>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</si>
  <si>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AutodeskвЂ™s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AutodeskвЂ™s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AutodeskвЂ™s analytics services platform
Collaborate with product management, engineering and business stakeholders to deliver analytics products that have a quantifiable impact on AutodeskвЂ™s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</si>
  <si>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</si>
  <si>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</si>
  <si>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</si>
  <si>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</si>
  <si>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</si>
  <si>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advocateвЂ”for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WeвЂ™re looking for a curious, skillful engineer to employ machine learning techniques to develop new features and products at Temboo. You will be responsible for leveraging and advancing existing machine learning systems as you apply them to TembooвЂ™s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YouвЂ™re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YouвЂ™ll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YouвЂ™ll be writing software that people use to make a positive impact on the world
YouвЂ™ll get wide-ranging exposure to different aspects of the technology and business worlds since Temboo touches hardware &amp; software, multiple layers of the technology stack, and a variety of industries
YouвЂ™ll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вЂњMachine Learning EngineerвЂќ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</si>
  <si>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</si>
  <si>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</si>
  <si>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</si>
  <si>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</si>
  <si>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</si>
  <si>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worldвЂ™s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youвЂ™ve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BachelorвЂ™s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вЂtime -seriesвЂ™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</si>
  <si>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</si>
  <si>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</si>
  <si>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weвЂ™ve been at the leading edge of technical innovation for more than 45 years. Be a part of the team that developed the worldвЂ™s most widely used military drones and created the first submarine-launched reconnaissance drone, and has seven innovative vehicles that are part of the Smithsonian InstitutionвЂ™s permanent collection in Washington, DC.
Join us today in developing the next generation of small UAS and tactical missile systems that will deliver more actionable intelligence to our customers so they can proceed with certainty вЂ“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companyвЂ™s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</si>
  <si>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</si>
  <si>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</si>
  <si>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</si>
  <si>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</si>
  <si>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contractorвЂ™s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universityвЂ™s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</si>
  <si>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</si>
  <si>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</si>
  <si>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вЂ“ and celebrate our employeesвЂ™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</si>
  <si>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</si>
  <si>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</si>
  <si>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</si>
  <si>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otherвЂ™s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youвЂ™ll drive growth, this is the role for you. There is no limit to how far you can go with us.
Benefits
While weвЂ™ve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youвЂ™re excited to build and own something great, and take on these challenges with us. Come join us.</t>
  </si>
  <si>
    <t>Alector
4.8</t>
  </si>
  <si>
    <t>Enterprise Data Analyst (Enterprise Portfolio Management Office)</t>
  </si>
  <si>
    <t>YOUR LIFE'S MISSION: POSSIBLE
You have goals, dreams, hobbies and things youвЂ™re passionate about.
WhatвЂ™s Important to You Is Important to Us
WeвЂ™re looking for people who not only want to do meaningful, challenging work, keep their skills sharp and move ahead, but who also take time for the things that matter to themвЂ”friends, family and passions. And we're looking for team members who are passionate about our missionвЂ”making a difference in military members' and their families' lives. Together, we can make it happen.
DonвЂ™t take our word for it.
FORTUNE 100 Best Companies to Work ForВ®
ComputerworldВ® Best Places to Work in IT
FORTUNEВ® Best Workplaces for Millennials
ForbesВ® AmericaвЂ™s Best Employers
PEOPLEВ®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вЂў Develop, maintain, and manage advanced reporting, dashboards and analytical results
вЂў Evaluate and define functional requirements for analytics and business intelligence (BI) solutions
вЂў Understand intersection and alignment of data components of projects and initiatives to provide recommendations to management to maximize value to the organization
вЂў Retrieve, analyze and validate data and test accuracy of reported results; identify data trends and patterns to guide decision making
вЂў Work with project leads to understand requirements and propose key analytics solutions to drive effective decision making and influence business objectives
вЂў Prepare reports that identify areas of improvement for current operations, and show root cause analysis of problems
вЂў Communicate analytical and data outcomes to project leads and stakeholders
вЂў Assist with preparing project implementation plans which highlight major milestones and deliverables, leveraging standard methods and work planning tools
вЂў Identify potential issues and risks during the analytics project implementation and recommend mitigation strategies
вЂў Collaborate with business units and senior management to conduct needs assessment to support business unit objectives
вЂў Assist with preparing high quality project deliverables that are valued by the business and present them in such a manner that they are easily understood by project stakeholders
вЂў Interpret data presented in models, charts, and tables and transform it into data visualizations that are useful to the business and contributes to effective decision making
вЂў Utilize measurement and statistical practices to analyze current and historical data to identify risks and opportunities enabling better decisions on planned/future events
вЂў Perform other duties as assigned
Qualifications and Education Requirements:
вЂў BachelorвЂ™s degree in Information Systems, Computer Science, or related field, or the equivalent combination of education, training and experience
вЂў Significant experience in the application of statistical methods, mathematical techniques, forecasting, cost-benefit analysis and related analytical tools
вЂў Advanced knowledge of and the ability to perform statistical analysis such as measures of central tendency, normal distribution, variance, standard deviation, basic tests, correlation, and regression techniques
вЂў Advanced knowledge of ETL tools and techniques
вЂў Advanced knowledge of Agile frameworks (e.g., SAFE)
вЂў Advanced knowledge of SQL
вЂў Advanced knowledge of various data structures and formats with the ability to extract data from various data sources (e.g., Cognos, Apache Spark)
вЂў Advanced knowledge of multiple database concepts and data flows
вЂў Significant experience in working with data visualization tools such as Microsoft Power BI, Tableau
вЂў Advanced knowledge of data mapping techniques and data pipelines
вЂў Expert research, analytical, and problem solving skills
вЂў Advanced skill communicating with all levels within an organization
вЂў Advanced skill presenting findings, conclusions, alternatives and information clearly and concisely
вЂў Advanced skill interpreting, extrapolating and interpolating data for statistical research
вЂў Advanced skill understanding and analyzing models that predict the probability of an outcome
вЂў Advanced skill collecting and manipulating data used in effective decision making
вЂў Advanced knowledge of data warehousing, data cleaning, and other analytical techniques required for data usage
вЂў Advanced knowledge of the process of sourcing raw data and cleansing techniques
вЂў Advanced knowledge of data models, design tools, business/technical requirements, statistical programming languages, data queries
вЂў Advanced skill identifying and analyzing business requirements and recommending solutions
вЂў Expert verbal interpersonal and written communication skills
вЂў Expert database, word processing, spreadsheet, and presentation software skills
вЂў Ability to work independently and in a team environment
Desired Qualifications and Education Requirements:
вЂў Advanced knowledge of Navy Federal functions, philosophy, operations and organizational objectives
Hours: Monday вЂ“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</si>
  <si>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вЂ“ Network Analysis and Control</t>
  </si>
  <si>
    <t>Why choose between doing meaningful work and having a fulfilling life? At MITRE, you can have both. That's because MITRE people are committed to tackling our nation's toughest challengesвЂ”and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dayвЂ”working for a safer, healthier, and more secure nation and world.
MITREвЂ™s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nationвЂ™s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MITREвЂ™s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MITREвЂ™s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MITREвЂ”and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</si>
  <si>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</si>
  <si>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HMIвЂ™s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</si>
  <si>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</si>
  <si>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theyвЂ™re great for growth, and even better for stability. As an innovative software development and digital marketing company pioneering the field of artificial intelligence, we can offer our newest Data Engineer the best of both words вЂ“ a high energy, forward-thinking start-up culture, inside of a well-established, profitable, and stable structure of a 3 decade old organization. So, if youвЂ™re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SpectrumвЂ™s and SpectrumвЂ™s clientвЂ™s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youвЂ™re at it.
Analytical. In order to solve problems and build innovative new digital marketing campaigns, it is essential that you know how to take an idea and analyze it from all of its angles.
Developer. In the ever changing world of artificial intelligence, itвЂ™s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bachelorвЂ™s degree/pursuing a bachelorвЂ™s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sameвЂ”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nationвЂ™s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donвЂ™t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</si>
  <si>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</si>
  <si>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IEHPвЂ™s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weвЂ™re ready to make a difference today and in the years to come. Join our Team and Make a Difference with us!
Nearest Major Market: Riverside
Nearest Secondary Market: Los Angeles</t>
  </si>
  <si>
    <t>Inland Empire Health Plan
3.3</t>
  </si>
  <si>
    <t>Rancho Cucamonga, CA</t>
  </si>
  <si>
    <t>Senior Data Engineer
MasterвЂ™s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</si>
  <si>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</si>
  <si>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</si>
  <si>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</si>
  <si>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</si>
  <si>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</si>
  <si>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</si>
  <si>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</si>
  <si>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</si>
  <si>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</si>
  <si>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вЂ“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</si>
  <si>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</si>
  <si>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</si>
  <si>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</si>
  <si>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</si>
  <si>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</si>
  <si>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</si>
  <si>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В· Working closely with the technology and learning teams, theData Scientist will be responsible for the following:
В· Creating infrastructure for thedelivery team; Maintain a working knowledge of data mining and visualizationbest practices; Work in coordination with the team for better and quickresults;
В· Being able to develop or program databases; Having theability to query databases and perform statistical analysis; Analyze the dataavailable and provide the relevant output;
В· Collaborate with engineering colleagues to define the datamodeling goals for designated project areas;
В· Having a good understanding of design and architectureprinciples; Understand the importance of the system development and help ingetting it implemented;
В· Have good time management skills and should be able to meetthe expected deliverables;
В· Being able to create examples, prototypes, demonstrations tohelp management better understand the work;
В·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В· PhD/ Master's Degree in Statistics,Mathematics, Computer Science, or equivalent; 5+ years of data science/miningexperience;
В· Excellent knowledge of at least twocoding languages, e.g. Python, Java, Scala, R Language, SQL, ETL Tools, Perland Pig;
В· Should have worked on different toolslike Java, SQL, Python, etc.; Good experience with SQL, Linux shell scripts,Perl, and AWK;
В· Domain knowledge in at least twoindustries; Minimum five years of experience in customer-facing activities;
В· Overall knowledge of BusinessIntelligence; in particular, data modeling, ETL, and reporting tools;
В·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</si>
  <si>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</si>
  <si>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</si>
  <si>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womenвЂ™s and childrenвЂ™s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stakeholderвЂ™s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BachelorвЂ™s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вЂbig dataвЂ™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</si>
  <si>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</si>
  <si>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ConsumerTrackв„ў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MasterвЂ™s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</si>
  <si>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</si>
  <si>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</si>
  <si>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</si>
  <si>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</si>
  <si>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</si>
  <si>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</si>
  <si>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</si>
  <si>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MasterвЂ™s+1yr/BachelorвЂ™s+5yrs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</si>
  <si>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</si>
  <si>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вЂў Collect, review, and analyze data from sensors and platform interfaces.
вЂў Identify trends and methods to provide predictive analytics.
вЂў Create ML/AI models to support predictive analytics and provide direction to software team implementing the models. вЂў Document algorithms and models for future use as well.
вЂў Minimal travel to support meetings with customers for data collection and program review.
вЂў Work under the direction of the Engineering Group Director and Project Manager.
вЂў Work as part of a fast-paced team.
KNOWLEDGE, SKILLS, &amp; ABILITIES:
вЂў Bachelor's degree in Computer Science, Computer Engineering, Electrical Engineering, Software Engineering, Mathematics or related field from an accredited college or university
вЂў 5-10 years progressive experience in data analysis, ML, and model creation
вЂў Experience using MATLAB and associated toolboxes for algorithm development and/or data review
вЂў Experience working with ML/AI frameworks and packages such as TensorFlow and/or PyTorch
вЂў Experience reviewing bulk data and performing trend analysis through standard tools
вЂў Experience using scripting languages to import, parse, analyze, and store data
вЂў Organizational skills, both with physical workspace and electronic data.
вЂў Strong communication skills, both verbal and written
вЂў Strong team player
PREFERRED EXPERIENCE:
вЂў Master's degree in Machine Learning, Statistics, or related discipline
вЂў Experience with software development life-cycles
вЂў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</si>
  <si>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</si>
  <si>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</si>
  <si>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</si>
  <si>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</si>
  <si>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</si>
  <si>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</si>
  <si>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</si>
  <si>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</si>
  <si>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</si>
  <si>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</si>
  <si>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</si>
  <si>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вЂў Master's Degree in a quantitative field such as mathematics, physics, or engineering (or other analytical field);
вЂў BachelorвЂ™s Degree with relevant experience is acceptable.
Posting Title
Data Scientist
City
Ft. Worth
Key Job Elements
вЂў Selecting features, building and optimizing ML models using machine learning techniques;
вЂў Gaining/Using Domain Knowledge in order to further analytic capabilities;
вЂў Extending companyвЂ™s data with third party sources of information when needed;
вЂў Enhancing data collection procedures to include information that is relevant for building analytic systems;
вЂў Processing, cleansing, and verifying the integrity of data used for analysis;
вЂў Doing ad-hoc analysis and presenting results in a clear manner;
вЂў Supporting field reported issue resolution through data analysis;
вЂў Advising on system integration of ML models.
Qualifications and Experience
вЂў Excellent understanding of machine learning techniques and algorithms;
вЂў Experience architecting and implementing data analytics based solutions;
вЂў Experience with common data science toolkits. Proven ability with Python and C++ ML frameworks desirable;
вЂў Great communication skills;
вЂў Experience in integrating ML models into larger deployed systems;
вЂў Experience with data visualization tools;
вЂў Proficiency in using query languages such as SQL;
вЂў Experience with NoSQL databases, such as MongoDB, Cassandra;
вЂў Experience in cloud based environments such as AWS;
вЂў Good applied statistics skills, such as distributions, statistical testing, regression, etc.;
вЂў Good scripting and programming skills;
вЂў Data-oriented personality;
вЂў Knowledge of classical mechanics a bonus;
вЂў Systems engineering knowledge a plus;
вЂў Knowledge and experience in the Rail Industry desired.
EEO
Equal Opportunity Employer вЂ“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</si>
  <si>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</si>
  <si>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</si>
  <si>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</si>
  <si>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EmployerвЂ“minorities/females/veterans/individuals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</si>
  <si>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</si>
  <si>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вЂ“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</si>
  <si>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</si>
  <si>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WeвЂ™re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organizationвЂ™s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</si>
  <si>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</si>
  <si>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</si>
  <si>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</si>
  <si>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</si>
  <si>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MicrosoftвЂ™s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</si>
  <si>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</si>
  <si>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</si>
  <si>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WeвЂ™re looking for someone with 5-7 years of experience manipulating data sets and building statistical models, has a MasterвЂ™s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weвЂ™re passionate about вЂ“ unlocking your future, overall well-being, and sustainability вЂ“ whilst giving you control over your benefits.
Unlimited Paid Time Off
401K вЂ“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</si>
  <si>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</si>
  <si>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customersвЂ™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</si>
  <si>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</si>
  <si>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</si>
  <si>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Intelligenceв„ў Platform. The ideal candidate will structure data and create the analytics needed to provide insights into our customer domainsвЂ“ranging from predicting customer demand to forecasting port disruptions to getting in front of risks to national security. This position will do data discovery, interpret, craft models and build streams for Insights in TransVoyant CDIв„ў.
RESPONSIBILITIES
Become an expert on TransVoyant CDIв„ў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BachelorвЂ™s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</si>
  <si>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</si>
  <si>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</si>
  <si>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NoblisвЂ™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вЂў Begin developing relationships one level up and two levels down. Identify and support opportunities to expand project scope beyond current deliverable and actively share information about clientsвЂ™ emerging support needs and trends with team members and management. В·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</si>
  <si>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</si>
  <si>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</si>
  <si>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</si>
  <si>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</si>
  <si>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</si>
  <si>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VirginiaвЂ™s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GovernmentвЂ™s most pressing business needs. To achieve this objective, our core practice areas вЂ“ strategy, IT solutions development, cyber security, and cloud computing вЂ“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</si>
  <si>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</si>
  <si>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</si>
  <si>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</si>
  <si>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</si>
  <si>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KeHEвЂ™s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BachelorвЂ™s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naГЇve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MasterвЂ™s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</si>
  <si>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</si>
  <si>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</si>
  <si>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В· 2+ years of relevant professional experience and/or an advanced degree
В· Knowledge of foundational techniques with NLP, such as text processing, document classification, sentiment analysis, etc.
В· Experience in programming languages (Python, Java, etc.)
В· Familiarity with NLP tools, such as NLTK, Gensim, SpaCy, and Word2Vec
В· Working knowledge of statistics and probability (statistical inference, Bayesian statistics)
В· Good written and spoken communication skills
Following Skills are a Plus
В· Deep understanding of English grammar, syntax, semantics and human speech
В· Data visualization and presentation of data-driven insights
В·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</si>
  <si>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</si>
  <si>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</si>
  <si>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</si>
  <si>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complexГ‚dataГ‚into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Г‚
Soft Skills:
Multi-tasking and priority setting Гў ability to effectively manage multiple projects of varying complexity.
Ability to work independently and as part of a team.
Excellent communication skills, both written and verbal.
Technical Skills/Experience:
Experience with statistical modeling
Practical experience in preparingГ‚dataГ‚for machine learning
Practical experience in using and designing regression, SVM, clustering, and other classification models.
Nice to have experience in optimization
Nice to have experience in Spark, Tensorflow, parallel computation
Experience with largeГ‚dataГ‚stores, both SQL and noSQL (e.g. Hadoop)
Python, R, Matlab
Node.js, Scala for services, Postgres for theГ‚database
Kubernetes, for deployment and Devops
AWS for infrastructure, leveraging EC2, S3, SWF, CloudFront, Route53, and much more
Proven capabilities in presenting technical findings to non-technical audiences
Г‚
Г‚</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</si>
  <si>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</si>
  <si>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DBAвЂ™s,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companyвЂ™s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</si>
  <si>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</si>
  <si>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CompanyвЂ™s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TMHCCвЂ™s policies and procedures
Within the first 60 days, take ownership to develop text analytics capabilities
Qualifications:
Experience with Natural Language Processing (Text Analytics)
Experience with Python or вЂњRвЂќ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MasterвЂ™s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</si>
  <si>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</si>
  <si>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</si>
  <si>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</si>
  <si>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</si>
  <si>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</si>
  <si>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</si>
  <si>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вЂ”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</si>
  <si>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</si>
  <si>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</si>
  <si>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</si>
  <si>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naГЇve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</si>
  <si>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</si>
  <si>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</si>
  <si>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</si>
  <si>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</si>
  <si>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youвЂ™ll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(MasterвЂ™s/PhD)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</si>
  <si>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</si>
  <si>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</si>
  <si>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вЂ“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</si>
  <si>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</si>
  <si>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</si>
  <si>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</si>
  <si>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</si>
  <si>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</si>
  <si>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individualвЂ™s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</si>
  <si>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</si>
  <si>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</si>
  <si>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</si>
  <si>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</si>
  <si>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WeвЂ™re looking for a data scientist to drive our data science and analytics group forward! YouвЂ™ll be joining a group of curious, smart, technically minded yet business savvy data scientists and analysts looking to make a difference to the company by designing and building out our data decisioning capabilities from the ground up!
As a data scientist, youвЂ™ll work collaboratively with our business, operations, analytics, and IT teams. YouвЂ™ll be responsible for analyzing our data and executing projects that will inform our business strategy and embed into our data products.
Our ideal candidate is excited to join our fast-paced culture and is excited to contribute to our growing data science practice!
What youвЂ™ll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WeвЂ™re constantly refining our technology and our strategies, thatвЂ™s why weвЂ™re the industry leader in delivering the best results to the top insurance brands in America.
ThatвЂ™s not just lip service either, weвЂ™re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WeвЂ™re made up of introverts and extroverts, suits and rebels, corporate types and anti-corporate types. WeвЂ™re an environment where every person feels their full potential is only limited by their ability to conceive of it and make it happen. Our company grew from entrepreneurial roots but has big company resources to get amazing things done.
What weвЂ™re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вЂ“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WhatвЂ™s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</si>
  <si>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</si>
  <si>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</si>
  <si>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companyвЂ™s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</si>
  <si>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</si>
  <si>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doesnвЂ™t play by the rules, so we donвЂ™t either. We are an agile innovative brand thatвЂ™s backed by a founding member of the National Cancer Center Network. Now, weвЂ™re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ItвЂ™s a revolutionary new model вЂ“ and weвЂ™re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yearsвЂ™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</si>
  <si>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</si>
  <si>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</si>
  <si>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</si>
  <si>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</si>
  <si>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Data Analyst Ii</t>
  </si>
  <si>
    <t>Data Scientist - Image And Video Analytics</t>
  </si>
  <si>
    <t>Data Science Manager, Payment Acceptance - Usa</t>
  </si>
  <si>
    <t>Data Scientist, Kinship - Nyc/Portland</t>
  </si>
  <si>
    <t>Sr Data Engineer (Sr Bi Developer)</t>
  </si>
  <si>
    <t>Rfp Data Analyst</t>
  </si>
  <si>
    <t>Data Scientist (Ts/Sci)</t>
  </si>
  <si>
    <t>Ngs Scientist</t>
  </si>
  <si>
    <t>Sr. Ml/Data Scientist - Ai/Nlp/Chatbot</t>
  </si>
  <si>
    <t>Data Integration And Modeling Engineer</t>
  </si>
  <si>
    <t>Ai Data Scientist</t>
  </si>
  <si>
    <t>Scientist - Biomarker And Flow Cytometry</t>
  </si>
  <si>
    <t>Staff Scientist- Upstream Pd</t>
  </si>
  <si>
    <t>Elisa Research Scientist (Cv-15)</t>
  </si>
  <si>
    <t>Machine Learning Scientist - Bay Area, Ca</t>
  </si>
  <si>
    <t>Jr. Business Data Analyst (Position Added 6/12/2020)</t>
  </si>
  <si>
    <t>Sr. Data Scientist Ii</t>
  </si>
  <si>
    <t>Principal Scientist/Associate Director, Quality Control And Analytical Technologies</t>
  </si>
  <si>
    <t>Senior Data Scientist Вђ“ Image Analytics, Novartis Ai Innovation Lab</t>
  </si>
  <si>
    <t>Data Scientist - Ts/Sci Fsp Or Ci Required</t>
  </si>
  <si>
    <t>Data Scientist - Ts/Sci Required</t>
  </si>
  <si>
    <t>Engineer - Computer Scientist - Research Computer Scientist - Signal Processing - San Antonio Or</t>
  </si>
  <si>
    <t>Ai Ops Data Scientist</t>
  </si>
  <si>
    <t>Senior Machine Learning Scientist - Bay Area, Ca</t>
  </si>
  <si>
    <t>Real World Evidence (Rwe) Scientist</t>
  </si>
  <si>
    <t>Staff Bi And Data Engineer</t>
  </si>
  <si>
    <t>Director Of Data Science</t>
  </si>
  <si>
    <t>Diversity And Inclusion Data Analyst</t>
  </si>
  <si>
    <t>Vp, Data Science</t>
  </si>
  <si>
    <t>Applied Ai Scientist / Engineer</t>
  </si>
  <si>
    <t>Data Engineer (Analytics, Sql, Python, Aws)</t>
  </si>
  <si>
    <t>It Partner Digital Health Technology And Data Science</t>
  </si>
  <si>
    <t>Software Engineer (Data Scientist, C,C++,Linux,Unix) - Sisw - Mg</t>
  </si>
  <si>
    <t>Data Scientist (Ts/Sci W/ Poly)</t>
  </si>
  <si>
    <t>Weapons And Sensors Engineer/Scientist</t>
  </si>
  <si>
    <t>Lead Certified Clinical Laboratory Scientist - Saturday - Tuesday, 8:00Pm - 6:30Am Shift</t>
  </si>
  <si>
    <t>Data Scientist(S)/Machine Learning Engineer</t>
  </si>
  <si>
    <t>Computer Scientist - Engineer - Research Computer Scientist - Signal Processing</t>
  </si>
  <si>
    <t>Computer Scientist - Engineer - Research Computer Scientist - Transportation Technology</t>
  </si>
  <si>
    <t>Aviation Ai/Ml Data Scientist</t>
  </si>
  <si>
    <t>Vice President, Biometrics And Clinical Data Management</t>
  </si>
  <si>
    <t>Lead Data Scientist Вђ“ Network Analysis And Control</t>
  </si>
  <si>
    <t>Sr. Research Associate/ Scientist, Ngs Prep &amp; Molecular Genomics</t>
  </si>
  <si>
    <t>Developer Iii - Data Science</t>
  </si>
  <si>
    <t>Ai/Ml - Machine Learning Scientist, Siri Understanding</t>
  </si>
  <si>
    <t>137-171</t>
  </si>
  <si>
    <t>75-131</t>
  </si>
  <si>
    <t>79-131</t>
  </si>
  <si>
    <t>99-132</t>
  </si>
  <si>
    <t>90-109</t>
  </si>
  <si>
    <t>101-165</t>
  </si>
  <si>
    <t>56-97</t>
  </si>
  <si>
    <t>79-106</t>
  </si>
  <si>
    <t>71-123</t>
  </si>
  <si>
    <t>90-124</t>
  </si>
  <si>
    <t>91-150</t>
  </si>
  <si>
    <t>141-225</t>
  </si>
  <si>
    <t>145-225</t>
  </si>
  <si>
    <t>79-147</t>
  </si>
  <si>
    <t>122-146</t>
  </si>
  <si>
    <t>112-116</t>
  </si>
  <si>
    <t>110-163</t>
  </si>
  <si>
    <t>124-198</t>
  </si>
  <si>
    <t>79-133</t>
  </si>
  <si>
    <t>69-116</t>
  </si>
  <si>
    <t>31-56</t>
  </si>
  <si>
    <t>95-119</t>
  </si>
  <si>
    <t>212-331</t>
  </si>
  <si>
    <t>66-112</t>
  </si>
  <si>
    <t>128-201</t>
  </si>
  <si>
    <t>138-158</t>
  </si>
  <si>
    <t>80-132</t>
  </si>
  <si>
    <t>87-141</t>
  </si>
  <si>
    <t>92-155</t>
  </si>
  <si>
    <t>105-167</t>
  </si>
  <si>
    <t>Petadata</t>
  </si>
  <si>
    <t>Rainmaker Resources, Llc</t>
  </si>
  <si>
    <t>Hireai</t>
  </si>
  <si>
    <t>Falcon It &amp; Staffing Solutions</t>
  </si>
  <si>
    <t>Blue Icy Water, Llc</t>
  </si>
  <si>
    <t>Blue Cloak Llc</t>
  </si>
  <si>
    <t>Compuforce</t>
  </si>
  <si>
    <t>Grainbridge, Llc</t>
  </si>
  <si>
    <t>Jkgt</t>
  </si>
  <si>
    <t>Accesshope</t>
  </si>
  <si>
    <t>New York,NY</t>
  </si>
  <si>
    <t>Herndon,VA</t>
  </si>
  <si>
    <t>Boston,MA</t>
  </si>
  <si>
    <t>Bad Ragaz,Switzerland</t>
  </si>
  <si>
    <t>Santa Barbara,CA</t>
  </si>
  <si>
    <t>Basel,Switzerland</t>
  </si>
  <si>
    <t>Bedford,MA</t>
  </si>
  <si>
    <t>Mountain View,CA</t>
  </si>
  <si>
    <t>Chicago,IL</t>
  </si>
  <si>
    <t>Mc Lean,VA</t>
  </si>
  <si>
    <t>Saint Louis,MO</t>
  </si>
  <si>
    <t>Richland,WA</t>
  </si>
  <si>
    <t>Northbrook,IL</t>
  </si>
  <si>
    <t>Princeton,NJ</t>
  </si>
  <si>
    <t>Mays Landing,NJ</t>
  </si>
  <si>
    <t>Washington,DC</t>
  </si>
  <si>
    <t>Memphis,TN</t>
  </si>
  <si>
    <t>Tempe,AZ</t>
  </si>
  <si>
    <t>Reading,PA</t>
  </si>
  <si>
    <t>San Francisco,CA</t>
  </si>
  <si>
    <t>Menlo Park,CA</t>
  </si>
  <si>
    <t>Atlanta,GA</t>
  </si>
  <si>
    <t>Orlando,FL</t>
  </si>
  <si>
    <t>Lexington,MA</t>
  </si>
  <si>
    <t>Falls Church,VA</t>
  </si>
  <si>
    <t>Sheboygan,WI</t>
  </si>
  <si>
    <t>Seattle,WA</t>
  </si>
  <si>
    <t>Bellevue,WA</t>
  </si>
  <si>
    <t>Lincoln,NE</t>
  </si>
  <si>
    <t>Chantilly,VA</t>
  </si>
  <si>
    <t>Santa Monica,CA</t>
  </si>
  <si>
    <t>Ewing,NJ</t>
  </si>
  <si>
    <t>South San Francisco,CA</t>
  </si>
  <si>
    <t>Palo Alto,CA</t>
  </si>
  <si>
    <t>Singapore,Singapore</t>
  </si>
  <si>
    <t>Cambridge,MA</t>
  </si>
  <si>
    <t>Osaka,Japan</t>
  </si>
  <si>
    <t>Santa Clara,CA</t>
  </si>
  <si>
    <t>Vienna,VA</t>
  </si>
  <si>
    <t>New Orleans,LA</t>
  </si>
  <si>
    <t>Akron,OH</t>
  </si>
  <si>
    <t>Zurich,Switzerland</t>
  </si>
  <si>
    <t>Woburn,MA</t>
  </si>
  <si>
    <t>Carson,CA</t>
  </si>
  <si>
    <t>Coral Gables,FL</t>
  </si>
  <si>
    <t>San Ramon,CA</t>
  </si>
  <si>
    <t>Brisbane,CA</t>
  </si>
  <si>
    <t>Winter Park,FL</t>
  </si>
  <si>
    <t>San Rafael,CA</t>
  </si>
  <si>
    <t>Deerfield,IL</t>
  </si>
  <si>
    <t>Ipswich,MA</t>
  </si>
  <si>
    <t>Carmel,IN</t>
  </si>
  <si>
    <t>Chevy Chase,MD</t>
  </si>
  <si>
    <t>Hartford,CT</t>
  </si>
  <si>
    <t>Emeryville,CA</t>
  </si>
  <si>
    <t>Cambridge,United Kingdom</t>
  </si>
  <si>
    <t>Rockville,MD</t>
  </si>
  <si>
    <t>Minneapolis,MN</t>
  </si>
  <si>
    <t>Austin,TX</t>
  </si>
  <si>
    <t>Yakima,WA</t>
  </si>
  <si>
    <t>Santa Cruz,CA</t>
  </si>
  <si>
    <t>South Jordan,UT</t>
  </si>
  <si>
    <t>Reston,VA</t>
  </si>
  <si>
    <t>Denver,CO</t>
  </si>
  <si>
    <t>Holmdel,NJ</t>
  </si>
  <si>
    <t>Aurora,CO</t>
  </si>
  <si>
    <t>San Mateo,CA</t>
  </si>
  <si>
    <t>Goleta,CA</t>
  </si>
  <si>
    <t>Franklin,TN</t>
  </si>
  <si>
    <t>Indianapolis,IN</t>
  </si>
  <si>
    <t>Lutherville Timonium,MD</t>
  </si>
  <si>
    <t>Westminster,CO</t>
  </si>
  <si>
    <t>Burlingame,CA</t>
  </si>
  <si>
    <t>Annapolis Junction,MD</t>
  </si>
  <si>
    <t>Bethesda,MD</t>
  </si>
  <si>
    <t>Beavercreek,OH</t>
  </si>
  <si>
    <t>Schaumburg,IL</t>
  </si>
  <si>
    <t>Sunnyvale,CA</t>
  </si>
  <si>
    <t>Lehi,UT</t>
  </si>
  <si>
    <t>Lake Oswego,OR</t>
  </si>
  <si>
    <t>Holyoke,MA</t>
  </si>
  <si>
    <t>Dulles,VA</t>
  </si>
  <si>
    <t>San Diego,CA</t>
  </si>
  <si>
    <t>Detroit,MI</t>
  </si>
  <si>
    <t>Stamford,CT</t>
  </si>
  <si>
    <t>Carpinteria,CA</t>
  </si>
  <si>
    <t>Columbia,SC</t>
  </si>
  <si>
    <t>Marcy-L'Etoile,France</t>
  </si>
  <si>
    <t>Columbia,MO</t>
  </si>
  <si>
    <t>Fairfax,VA</t>
  </si>
  <si>
    <t>Chandler,AZ</t>
  </si>
  <si>
    <t>Aurora,Canada</t>
  </si>
  <si>
    <t>Blue Bell,PA</t>
  </si>
  <si>
    <t>Troy,MI</t>
  </si>
  <si>
    <t>Redwood City,CA</t>
  </si>
  <si>
    <t>Greenville,SC</t>
  </si>
  <si>
    <t>Arlington,VA</t>
  </si>
  <si>
    <t>Harrisburg,PA</t>
  </si>
  <si>
    <t>Hamilton,Bermuda</t>
  </si>
  <si>
    <t>Lynchburg,VA</t>
  </si>
  <si>
    <t>Springfield,MA</t>
  </si>
  <si>
    <t>San Carlos,CA</t>
  </si>
  <si>
    <t>Waltham,MA</t>
  </si>
  <si>
    <t>San Jose,CA</t>
  </si>
  <si>
    <t>Jersey City,NJ</t>
  </si>
  <si>
    <t>Fort Worth,TX</t>
  </si>
  <si>
    <t>Cedar Rapids,IA</t>
  </si>
  <si>
    <t>Mclean,VA</t>
  </si>
  <si>
    <t>Lorton,VA</t>
  </si>
  <si>
    <t>Maple Plain,MN</t>
  </si>
  <si>
    <t>Kent,WA</t>
  </si>
  <si>
    <t>Woodbine,MD</t>
  </si>
  <si>
    <t>San Antonio,TX</t>
  </si>
  <si>
    <t>Scotts Valley,CA</t>
  </si>
  <si>
    <t>Spartanburg,SC</t>
  </si>
  <si>
    <t>Woodbridge,NJ</t>
  </si>
  <si>
    <t>Chennai,India</t>
  </si>
  <si>
    <t>Tel Aviv-Yafo,Israel</t>
  </si>
  <si>
    <t>Baltimore,MD</t>
  </si>
  <si>
    <t>Manalapan,NJ</t>
  </si>
  <si>
    <t>Charlotte,NC</t>
  </si>
  <si>
    <t>Saxonburg,PA</t>
  </si>
  <si>
    <t>Bristol,PA</t>
  </si>
  <si>
    <t>Bangalore,India</t>
  </si>
  <si>
    <t>Hoboken,NJ</t>
  </si>
  <si>
    <t>Paris,France</t>
  </si>
  <si>
    <t>Greenwich,CT</t>
  </si>
  <si>
    <t>Santa Ana,CA</t>
  </si>
  <si>
    <t>Houston,TX</t>
  </si>
  <si>
    <t>Tucson,AZ</t>
  </si>
  <si>
    <t>Birmingham,AL</t>
  </si>
  <si>
    <t>Cleveland,OH</t>
  </si>
  <si>
    <t>Pleasanton,CA</t>
  </si>
  <si>
    <t>Columbus,OH</t>
  </si>
  <si>
    <t>Piscataway,NJ</t>
  </si>
  <si>
    <t>Danvers,MA</t>
  </si>
  <si>
    <t>Philadelphia,PA</t>
  </si>
  <si>
    <t>Livermore,CA</t>
  </si>
  <si>
    <t>Pittsburgh,PA</t>
  </si>
  <si>
    <t>Dallas,TX</t>
  </si>
  <si>
    <t>Toronto,Canada</t>
  </si>
  <si>
    <t>Irvine,CA</t>
  </si>
  <si>
    <t>Hillsborough,NJ</t>
  </si>
  <si>
    <t>Oshkosh,WI</t>
  </si>
  <si>
    <t>Fremont,CA</t>
  </si>
  <si>
    <t>Monroe,WI</t>
  </si>
  <si>
    <t>Goteborg,Sweden</t>
  </si>
  <si>
    <t>Lake Buena Vista,FL</t>
  </si>
  <si>
    <t>Schaffhausen,Switzerland</t>
  </si>
  <si>
    <t>Richmond,VA</t>
  </si>
  <si>
    <t>Newark,CA</t>
  </si>
  <si>
    <t>Greensboro,NC</t>
  </si>
  <si>
    <t>Scottsdale,AZ</t>
  </si>
  <si>
    <t>Irving,TX</t>
  </si>
  <si>
    <t>Beltsville,MD</t>
  </si>
  <si>
    <t>Naperville,IL</t>
  </si>
  <si>
    <t>Brentford,United Kingdom</t>
  </si>
  <si>
    <t>Cincinnati,OH</t>
  </si>
  <si>
    <t>Somerset,NJ</t>
  </si>
  <si>
    <t>London,United Kingdom</t>
  </si>
  <si>
    <t>Raleigh,NC</t>
  </si>
  <si>
    <t>Leesburg,VA</t>
  </si>
  <si>
    <t>Durham,NC</t>
  </si>
  <si>
    <t>Kent,OH</t>
  </si>
  <si>
    <t>Westlake Village,CA</t>
  </si>
  <si>
    <t>North Brunswick,NJ</t>
  </si>
  <si>
    <t>Benicia,CA</t>
  </si>
  <si>
    <t>Laurel,MD</t>
  </si>
  <si>
    <t>Columbia,MD</t>
  </si>
  <si>
    <t>Danville,CA</t>
  </si>
  <si>
    <t>Wilmington,MA</t>
  </si>
  <si>
    <t>New York,061</t>
  </si>
  <si>
    <t>Reading,MA</t>
  </si>
  <si>
    <t>Folsom,CA</t>
  </si>
  <si>
    <t>Wilsonville,OR</t>
  </si>
  <si>
    <t>Huntsville,AL</t>
  </si>
  <si>
    <t>Madison,WI</t>
  </si>
  <si>
    <t>Phila,PA</t>
  </si>
  <si>
    <t>Winston-Salem,NC</t>
  </si>
  <si>
    <t>Half Moon Bay,CA</t>
  </si>
  <si>
    <t>Los Angeles,CA</t>
  </si>
  <si>
    <t>Hilliard,OH</t>
  </si>
  <si>
    <t>Hanover,MD</t>
  </si>
  <si>
    <t>Kansas City,MO</t>
  </si>
  <si>
    <t>Bengaluru,India</t>
  </si>
  <si>
    <t>Alpharetta,GA</t>
  </si>
  <si>
    <t>Germantown,MD</t>
  </si>
  <si>
    <t>Omaha,NE</t>
  </si>
  <si>
    <t>Clifton Park,NY</t>
  </si>
  <si>
    <t>Livonia,MI</t>
  </si>
  <si>
    <t>Ashburn,VA</t>
  </si>
  <si>
    <t>Nashville,TN</t>
  </si>
  <si>
    <t>Alexandria,VA</t>
  </si>
  <si>
    <t>Edison,NJ</t>
  </si>
  <si>
    <t>Ventura,CA</t>
  </si>
  <si>
    <t>Armonk,NY</t>
  </si>
  <si>
    <t>Trumbull,CT</t>
  </si>
  <si>
    <t>Chadds Ford,PA</t>
  </si>
  <si>
    <t>Saint Paul,MN</t>
  </si>
  <si>
    <t>Glen Allen,VA</t>
  </si>
  <si>
    <t>Aliso Viejo,CA</t>
  </si>
  <si>
    <t>Plainsboro,NJ</t>
  </si>
  <si>
    <t>Fairmont,WV</t>
  </si>
  <si>
    <t>Cherry Hill,NJ</t>
  </si>
  <si>
    <t>Itasca,IL</t>
  </si>
  <si>
    <t>Coconut Creek,FL</t>
  </si>
  <si>
    <t>Lombard,IL</t>
  </si>
  <si>
    <t>Honolulu,HI</t>
  </si>
  <si>
    <t>Carle Place,NY</t>
  </si>
  <si>
    <t>Cupertino,CA</t>
  </si>
  <si>
    <t>Tampa,FL</t>
  </si>
  <si>
    <t>Totowa,NJ</t>
  </si>
  <si>
    <t>Rome,NY</t>
  </si>
  <si>
    <t>Milan,IL</t>
  </si>
  <si>
    <t>Marbella,Spain</t>
  </si>
  <si>
    <t>Simi Valley,CA</t>
  </si>
  <si>
    <t>Rancho Cucamonga,CA</t>
  </si>
  <si>
    <t>Albuquerque,NM</t>
  </si>
  <si>
    <t>Langley,VA</t>
  </si>
  <si>
    <t>Plano,TX</t>
  </si>
  <si>
    <t>Albertville,AL</t>
  </si>
  <si>
    <t>Orange,CA</t>
  </si>
  <si>
    <t>Littleton,CO</t>
  </si>
  <si>
    <t>Oakville,Canada</t>
  </si>
  <si>
    <t>San Bruno,CA</t>
  </si>
  <si>
    <t>West Chester,PA</t>
  </si>
  <si>
    <t>Utica,MI</t>
  </si>
  <si>
    <t>Fort Lee,NJ</t>
  </si>
  <si>
    <t>-1</t>
  </si>
  <si>
    <t>Healthfirst</t>
  </si>
  <si>
    <t>Mantech</t>
  </si>
  <si>
    <t>Analysis Group</t>
  </si>
  <si>
    <t>Inficon</t>
  </si>
  <si>
    <t>Affinity Solutions</t>
  </si>
  <si>
    <t>Hg Insights</t>
  </si>
  <si>
    <t>Novartis</t>
  </si>
  <si>
    <t>Irobot</t>
  </si>
  <si>
    <t>Intuit - Data</t>
  </si>
  <si>
    <t>Xsell Technologies</t>
  </si>
  <si>
    <t>Novetta</t>
  </si>
  <si>
    <t>1904Labs</t>
  </si>
  <si>
    <t>Pnnl</t>
  </si>
  <si>
    <t>Old World Industries</t>
  </si>
  <si>
    <t>Mathematica Policy Research</t>
  </si>
  <si>
    <t>Guzman &amp; Griffin Technologies (Ggti</t>
  </si>
  <si>
    <t>Upside Business Travel</t>
  </si>
  <si>
    <t>Buckman</t>
  </si>
  <si>
    <t>Insight Enterprises, Inc</t>
  </si>
  <si>
    <t>Tower Health</t>
  </si>
  <si>
    <t>Triplebyte</t>
  </si>
  <si>
    <t>Pulsepoint</t>
  </si>
  <si>
    <t>Exponent</t>
  </si>
  <si>
    <t>Guardian Life</t>
  </si>
  <si>
    <t>Spectrum Communications And Consulting</t>
  </si>
  <si>
    <t>Oversight Systems</t>
  </si>
  <si>
    <t>Lsq</t>
  </si>
  <si>
    <t>Mit Lincoln Laboratory</t>
  </si>
  <si>
    <t>Kingfisher Systems</t>
  </si>
  <si>
    <t>Formation</t>
  </si>
  <si>
    <t>Cohere Health</t>
  </si>
  <si>
    <t>Acuity Insurance</t>
  </si>
  <si>
    <t>Chef</t>
  </si>
  <si>
    <t>Puget Sound Energy</t>
  </si>
  <si>
    <t>Sandhills Global</t>
  </si>
  <si>
    <t>A Place For Mom</t>
  </si>
  <si>
    <t>Great-Circle Technologies</t>
  </si>
  <si>
    <t>Edmunds.Com</t>
  </si>
  <si>
    <t>Cambridge Associates, Llc</t>
  </si>
  <si>
    <t>Liberty Mutual Insurance</t>
  </si>
  <si>
    <t>Cenlar</t>
  </si>
  <si>
    <t>Arsenal Biosciences</t>
  </si>
  <si>
    <t>Eversight</t>
  </si>
  <si>
    <t>Pfizer</t>
  </si>
  <si>
    <t>Klaviyo</t>
  </si>
  <si>
    <t>Intellectual Ventures</t>
  </si>
  <si>
    <t>Govtech</t>
  </si>
  <si>
    <t>Quick Base</t>
  </si>
  <si>
    <t>Giving Assistant</t>
  </si>
  <si>
    <t>Takeda</t>
  </si>
  <si>
    <t>Netskope</t>
  </si>
  <si>
    <t>It Concepts</t>
  </si>
  <si>
    <t>Iseatz</t>
  </si>
  <si>
    <t>Summa Health System</t>
  </si>
  <si>
    <t>Benson Hill</t>
  </si>
  <si>
    <t>Twitter</t>
  </si>
  <si>
    <t>Postmates - Corporate Hq</t>
  </si>
  <si>
    <t>Envision Llc</t>
  </si>
  <si>
    <t>Swiss Re</t>
  </si>
  <si>
    <t>Systems &amp; Technology Research</t>
  </si>
  <si>
    <t>Dermalogica</t>
  </si>
  <si>
    <t>Bayview Asset Management</t>
  </si>
  <si>
    <t>Via Transportation</t>
  </si>
  <si>
    <t>Grid Dynamics</t>
  </si>
  <si>
    <t>Tempus Labs</t>
  </si>
  <si>
    <t>Caredx</t>
  </si>
  <si>
    <t>Izea</t>
  </si>
  <si>
    <t>Autodesk</t>
  </si>
  <si>
    <t>Caterpillar</t>
  </si>
  <si>
    <t>New England Biolabs</t>
  </si>
  <si>
    <t>Allied Solutions</t>
  </si>
  <si>
    <t>The Knot Worldwide</t>
  </si>
  <si>
    <t>Ifg Companies</t>
  </si>
  <si>
    <t>Amyris</t>
  </si>
  <si>
    <t>Astrazeneca</t>
  </si>
  <si>
    <t>Powertek</t>
  </si>
  <si>
    <t>Object Partners</t>
  </si>
  <si>
    <t>The Mom Project</t>
  </si>
  <si>
    <t>Lightspeed Systems</t>
  </si>
  <si>
    <t>Stripe</t>
  </si>
  <si>
    <t>Comprehensive Healthcare</t>
  </si>
  <si>
    <t>Fullpower Technologies, Inc</t>
  </si>
  <si>
    <t>Mars</t>
  </si>
  <si>
    <t>Nuwave Solutions</t>
  </si>
  <si>
    <t>Merrick Bank</t>
  </si>
  <si>
    <t>Qomplx</t>
  </si>
  <si>
    <t>Gutcheck</t>
  </si>
  <si>
    <t>Inter-American Development Bank</t>
  </si>
  <si>
    <t>Avlino</t>
  </si>
  <si>
    <t>Stratagem Group</t>
  </si>
  <si>
    <t>Evidation</t>
  </si>
  <si>
    <t>Tecolote Research</t>
  </si>
  <si>
    <t>Tivity Health</t>
  </si>
  <si>
    <t>Hc</t>
  </si>
  <si>
    <t>Hp Inc</t>
  </si>
  <si>
    <t>Saic</t>
  </si>
  <si>
    <t>Alliancebernstein</t>
  </si>
  <si>
    <t>Big Huge Games</t>
  </si>
  <si>
    <t>Maxar Technologies</t>
  </si>
  <si>
    <t>Phantom Ai</t>
  </si>
  <si>
    <t>Noblis</t>
  </si>
  <si>
    <t>Spring Health</t>
  </si>
  <si>
    <t>Clearedge</t>
  </si>
  <si>
    <t>Getwellnetwork</t>
  </si>
  <si>
    <t>Tacg Solutions</t>
  </si>
  <si>
    <t>Scoop</t>
  </si>
  <si>
    <t>Montway Inc</t>
  </si>
  <si>
    <t>Juniper Networks</t>
  </si>
  <si>
    <t>Notion Labs</t>
  </si>
  <si>
    <t>Lendio</t>
  </si>
  <si>
    <t>Direct Agents</t>
  </si>
  <si>
    <t>Navex Global</t>
  </si>
  <si>
    <t>Upstart</t>
  </si>
  <si>
    <t>Applovin</t>
  </si>
  <si>
    <t>Iso New England</t>
  </si>
  <si>
    <t>Relativity</t>
  </si>
  <si>
    <t>Tempo Automation</t>
  </si>
  <si>
    <t>Mitre</t>
  </si>
  <si>
    <t>Expedition Technology, Inc</t>
  </si>
  <si>
    <t>Evidera</t>
  </si>
  <si>
    <t>Plymouth Rock Assurance</t>
  </si>
  <si>
    <t>Crown Bioscience</t>
  </si>
  <si>
    <t>Gns Healthcare</t>
  </si>
  <si>
    <t>Onemagnify</t>
  </si>
  <si>
    <t>Spectrum</t>
  </si>
  <si>
    <t>Advanced Bioscience Laboratories</t>
  </si>
  <si>
    <t>Procore Technologies</t>
  </si>
  <si>
    <t>Ritedose</t>
  </si>
  <si>
    <t>Biomг©Rieux</t>
  </si>
  <si>
    <t>Leidos</t>
  </si>
  <si>
    <t>Demandbase</t>
  </si>
  <si>
    <t>Shelter Insurance</t>
  </si>
  <si>
    <t>Usac</t>
  </si>
  <si>
    <t>General Dynamics Information Technology</t>
  </si>
  <si>
    <t>Offerpad</t>
  </si>
  <si>
    <t>Magna International Inc</t>
  </si>
  <si>
    <t>United Biosource</t>
  </si>
  <si>
    <t>Kelly</t>
  </si>
  <si>
    <t>C3.Ai</t>
  </si>
  <si>
    <t>Quartet Health</t>
  </si>
  <si>
    <t>Midland Credit Management</t>
  </si>
  <si>
    <t>Resurgent Capital Services</t>
  </si>
  <si>
    <t>Webfx.Com</t>
  </si>
  <si>
    <t>Argo Group Us</t>
  </si>
  <si>
    <t>Bwx Technologies</t>
  </si>
  <si>
    <t>Life</t>
  </si>
  <si>
    <t>Massmutual</t>
  </si>
  <si>
    <t>Natera</t>
  </si>
  <si>
    <t>Genentech</t>
  </si>
  <si>
    <t>Ntrepid</t>
  </si>
  <si>
    <t>Constant Contact</t>
  </si>
  <si>
    <t>Sage Intacct</t>
  </si>
  <si>
    <t>Shape Security</t>
  </si>
  <si>
    <t>Skillsoniq</t>
  </si>
  <si>
    <t>Joby Aviation</t>
  </si>
  <si>
    <t>Cook Children'S Health Care System</t>
  </si>
  <si>
    <t>Rubius Therapeutics</t>
  </si>
  <si>
    <t>Greatamerica Financial Services</t>
  </si>
  <si>
    <t>Coverent</t>
  </si>
  <si>
    <t>Mteq</t>
  </si>
  <si>
    <t>Rocket Lawyer</t>
  </si>
  <si>
    <t>Alion Science &amp; Technology</t>
  </si>
  <si>
    <t>Protolabs</t>
  </si>
  <si>
    <t>Quest Integrity</t>
  </si>
  <si>
    <t>Phoenix Operations Group</t>
  </si>
  <si>
    <t>Dice.Com</t>
  </si>
  <si>
    <t>Southwest Research Institute</t>
  </si>
  <si>
    <t>The Buffalo Group</t>
  </si>
  <si>
    <t>Central California Alliance For Health</t>
  </si>
  <si>
    <t>Security Finance Corporation Of Spartanburg</t>
  </si>
  <si>
    <t>Opendoor</t>
  </si>
  <si>
    <t>Global Data Management Inc</t>
  </si>
  <si>
    <t>Photon Infotech</t>
  </si>
  <si>
    <t>Ree</t>
  </si>
  <si>
    <t>Riverside Research Institute</t>
  </si>
  <si>
    <t>T. Rowe Price</t>
  </si>
  <si>
    <t>Encode, Inc</t>
  </si>
  <si>
    <t>Brighthouse Financial</t>
  </si>
  <si>
    <t>Ii-Vi Incorporated</t>
  </si>
  <si>
    <t>Surya Systems</t>
  </si>
  <si>
    <t>Paypal</t>
  </si>
  <si>
    <t>Predictive Research Inc</t>
  </si>
  <si>
    <t>1010Data</t>
  </si>
  <si>
    <t>Gigya</t>
  </si>
  <si>
    <t>Genesis Research</t>
  </si>
  <si>
    <t>Sanofi</t>
  </si>
  <si>
    <t>Xpo Logistics</t>
  </si>
  <si>
    <t>Trace Data</t>
  </si>
  <si>
    <t>Descript</t>
  </si>
  <si>
    <t>Rincon Research Corporation</t>
  </si>
  <si>
    <t>Better Hire</t>
  </si>
  <si>
    <t>Parker Hannifin</t>
  </si>
  <si>
    <t>Gallup</t>
  </si>
  <si>
    <t>Insider Inc</t>
  </si>
  <si>
    <t>Rapid Value Solutions</t>
  </si>
  <si>
    <t>Battelle</t>
  </si>
  <si>
    <t>The Drive Media, Inc</t>
  </si>
  <si>
    <t>Pacific Northwest National Laboratory</t>
  </si>
  <si>
    <t>Us Pharmacopeia</t>
  </si>
  <si>
    <t>Itlize Global</t>
  </si>
  <si>
    <t>Ebay</t>
  </si>
  <si>
    <t>Paige</t>
  </si>
  <si>
    <t>Abiomed</t>
  </si>
  <si>
    <t>Comcast</t>
  </si>
  <si>
    <t>Metronome, Llc</t>
  </si>
  <si>
    <t>Lawrence Livermore National Lab</t>
  </si>
  <si>
    <t>Fhlbank Pittsburgh</t>
  </si>
  <si>
    <t>Jacobs</t>
  </si>
  <si>
    <t>Underwriters Laboratories</t>
  </si>
  <si>
    <t>Altus Group</t>
  </si>
  <si>
    <t>Jobot</t>
  </si>
  <si>
    <t>Oshkosh Corporation</t>
  </si>
  <si>
    <t>Mackin</t>
  </si>
  <si>
    <t>Vbeyond Corporation</t>
  </si>
  <si>
    <t>Take-Two</t>
  </si>
  <si>
    <t>Colony Brands</t>
  </si>
  <si>
    <t>Capio Group</t>
  </si>
  <si>
    <t>Sleepare</t>
  </si>
  <si>
    <t>Shorepoint</t>
  </si>
  <si>
    <t>Dolphin</t>
  </si>
  <si>
    <t>Te Connectivity</t>
  </si>
  <si>
    <t>State Of Virginia</t>
  </si>
  <si>
    <t>Ta Digital</t>
  </si>
  <si>
    <t>Market America Inc</t>
  </si>
  <si>
    <t>Trueaccord</t>
  </si>
  <si>
    <t>Alta It Services</t>
  </si>
  <si>
    <t>Kollasoft Inc</t>
  </si>
  <si>
    <t>Asrc Federal Holding Company</t>
  </si>
  <si>
    <t>Adwait Algorithm</t>
  </si>
  <si>
    <t>Cambridge Fx</t>
  </si>
  <si>
    <t>Metromile</t>
  </si>
  <si>
    <t>Criteo</t>
  </si>
  <si>
    <t>Advance Sourcing Concepts</t>
  </si>
  <si>
    <t>Enterprise Solutions Inc</t>
  </si>
  <si>
    <t>Conch Technologies, Inc</t>
  </si>
  <si>
    <t>Gsk</t>
  </si>
  <si>
    <t>22Nd Century Technologies</t>
  </si>
  <si>
    <t>Huxley</t>
  </si>
  <si>
    <t>Fm Systems</t>
  </si>
  <si>
    <t>Blue Cross And Blue Shield Of North Carolina</t>
  </si>
  <si>
    <t>Jane Street</t>
  </si>
  <si>
    <t>Ssati</t>
  </si>
  <si>
    <t>Solving It International Inc</t>
  </si>
  <si>
    <t>The Davey Tree Expert Company</t>
  </si>
  <si>
    <t>Centauri</t>
  </si>
  <si>
    <t>Software Engineering Institute</t>
  </si>
  <si>
    <t>Techprojects</t>
  </si>
  <si>
    <t>7Park Data</t>
  </si>
  <si>
    <t>Ameritas Life Insurance Corp</t>
  </si>
  <si>
    <t>Western Digital</t>
  </si>
  <si>
    <t>Shimento, Inc</t>
  </si>
  <si>
    <t>Averity</t>
  </si>
  <si>
    <t>Praxis Engineering</t>
  </si>
  <si>
    <t>Johns Hopkins University Applied Physics Laboratory</t>
  </si>
  <si>
    <t>Cambridge Mobile Telematics</t>
  </si>
  <si>
    <t>Blend</t>
  </si>
  <si>
    <t>Nolij Consulting</t>
  </si>
  <si>
    <t>Compass Consulting Group</t>
  </si>
  <si>
    <t>Solutionit, Inc</t>
  </si>
  <si>
    <t>Perspecta</t>
  </si>
  <si>
    <t>Smith Hanley Associates</t>
  </si>
  <si>
    <t>Allen Institute</t>
  </si>
  <si>
    <t>Eliassen Group</t>
  </si>
  <si>
    <t>Bayside Solutions</t>
  </si>
  <si>
    <t>Evolve Vacation Rental</t>
  </si>
  <si>
    <t>Agreeya Solutions</t>
  </si>
  <si>
    <t>Carolina Power &amp; Light Co</t>
  </si>
  <si>
    <t>New Iron Group, Inc</t>
  </si>
  <si>
    <t>Travelers</t>
  </si>
  <si>
    <t>Twitch</t>
  </si>
  <si>
    <t>Biogen</t>
  </si>
  <si>
    <t>Mentor Graphics</t>
  </si>
  <si>
    <t>Wcg (Wirb-Copernicus Group</t>
  </si>
  <si>
    <t>Visionary Integration Professionals</t>
  </si>
  <si>
    <t>Dynetics</t>
  </si>
  <si>
    <t>Navy Federal Credit Union</t>
  </si>
  <si>
    <t>Exact Sciences Corporation</t>
  </si>
  <si>
    <t>Community Behavioral Health</t>
  </si>
  <si>
    <t>Reynolds American</t>
  </si>
  <si>
    <t>Lifeomic</t>
  </si>
  <si>
    <t>Visionist, Inc</t>
  </si>
  <si>
    <t>Concerto Healthai</t>
  </si>
  <si>
    <t>Proprius</t>
  </si>
  <si>
    <t>Technocraft Solutions</t>
  </si>
  <si>
    <t>Latitude, Inc</t>
  </si>
  <si>
    <t>Royce Geospatial</t>
  </si>
  <si>
    <t>Cybercoders</t>
  </si>
  <si>
    <t>Booz Allen Hamilton Inc</t>
  </si>
  <si>
    <t>Burns &amp; Mcdonnell</t>
  </si>
  <si>
    <t>Inventech Info</t>
  </si>
  <si>
    <t>Robert Half</t>
  </si>
  <si>
    <t>Conflux Systems Inc</t>
  </si>
  <si>
    <t>Voice</t>
  </si>
  <si>
    <t>Datalab Usa</t>
  </si>
  <si>
    <t>Werner Enterprises Inc</t>
  </si>
  <si>
    <t>Peoplecom</t>
  </si>
  <si>
    <t>Vanta Partners</t>
  </si>
  <si>
    <t>Farmer'S Business Network, Inc</t>
  </si>
  <si>
    <t>Maxiom</t>
  </si>
  <si>
    <t>Change Healthcare</t>
  </si>
  <si>
    <t>Dcs Corp</t>
  </si>
  <si>
    <t>Hive (Ca</t>
  </si>
  <si>
    <t>Hackensack Meridian Health</t>
  </si>
  <si>
    <t>Net2Source Inc</t>
  </si>
  <si>
    <t>The Trade Desk</t>
  </si>
  <si>
    <t>Ibm</t>
  </si>
  <si>
    <t>Knowesis Inc</t>
  </si>
  <si>
    <t>Motek Technologies</t>
  </si>
  <si>
    <t>Hpone</t>
  </si>
  <si>
    <t>Tbwa\Chiat\Day</t>
  </si>
  <si>
    <t>Threebridge Solutions</t>
  </si>
  <si>
    <t>Numeric, Llc</t>
  </si>
  <si>
    <t>Centraprise</t>
  </si>
  <si>
    <t>Dw Simpson</t>
  </si>
  <si>
    <t>Linquest</t>
  </si>
  <si>
    <t>Trexquant Investment</t>
  </si>
  <si>
    <t>Fleetcor</t>
  </si>
  <si>
    <t>Radiant Digital</t>
  </si>
  <si>
    <t>Child Care Aware Of America</t>
  </si>
  <si>
    <t>Intellipro Group Inc</t>
  </si>
  <si>
    <t>Usi</t>
  </si>
  <si>
    <t>Apex Systems</t>
  </si>
  <si>
    <t>Pragmatics, Inc</t>
  </si>
  <si>
    <t>Crossover Health</t>
  </si>
  <si>
    <t>Lorven Technologies Inc</t>
  </si>
  <si>
    <t>Gap Inc</t>
  </si>
  <si>
    <t>Tygart Technology, Inc</t>
  </si>
  <si>
    <t>Murray Resources</t>
  </si>
  <si>
    <t>New York Technology Partners</t>
  </si>
  <si>
    <t>Two95 International Inc</t>
  </si>
  <si>
    <t>Crs Group</t>
  </si>
  <si>
    <t>Blackstone Talent Group</t>
  </si>
  <si>
    <t>Roche</t>
  </si>
  <si>
    <t>Creative Circle</t>
  </si>
  <si>
    <t>Blue Horizon Tek Solutions</t>
  </si>
  <si>
    <t>Sharpedge Solutions Inc</t>
  </si>
  <si>
    <t>Alaka`Ina Foundation Family Of Companies</t>
  </si>
  <si>
    <t>Hexagon Us Federal</t>
  </si>
  <si>
    <t>Comtech Global Inc</t>
  </si>
  <si>
    <t>Aveshka, Inc</t>
  </si>
  <si>
    <t>10X Genomics</t>
  </si>
  <si>
    <t>1-800-Flowers</t>
  </si>
  <si>
    <t>Aptive</t>
  </si>
  <si>
    <t>Jcd Staffing</t>
  </si>
  <si>
    <t>Thumbtack</t>
  </si>
  <si>
    <t>Milvets Systems Technology, Inc</t>
  </si>
  <si>
    <t>Apple</t>
  </si>
  <si>
    <t>Kforce</t>
  </si>
  <si>
    <t>Opploans</t>
  </si>
  <si>
    <t>Brillient</t>
  </si>
  <si>
    <t>Xator Corporation</t>
  </si>
  <si>
    <t>Han It Staffing Inc</t>
  </si>
  <si>
    <t>Infinitive Inc</t>
  </si>
  <si>
    <t>New Relic</t>
  </si>
  <si>
    <t>Icw Group</t>
  </si>
  <si>
    <t>Nystec</t>
  </si>
  <si>
    <t>E3 Federal Solutions</t>
  </si>
  <si>
    <t>Peraton</t>
  </si>
  <si>
    <t>Group O</t>
  </si>
  <si>
    <t>Captiveaire</t>
  </si>
  <si>
    <t>Temboo</t>
  </si>
  <si>
    <t>Aerovironment</t>
  </si>
  <si>
    <t>Applied Research Laboratories</t>
  </si>
  <si>
    <t>Conagen</t>
  </si>
  <si>
    <t>Alector</t>
  </si>
  <si>
    <t>Homology Medicines, Inc</t>
  </si>
  <si>
    <t>Inland Empire Health Plan</t>
  </si>
  <si>
    <t>Sandia National Laboratories</t>
  </si>
  <si>
    <t>Cia</t>
  </si>
  <si>
    <t>Maven Wave Partners</t>
  </si>
  <si>
    <t>Ovative Group</t>
  </si>
  <si>
    <t>Kognetics</t>
  </si>
  <si>
    <t>Envision Healthcare</t>
  </si>
  <si>
    <t>Consumertrack</t>
  </si>
  <si>
    <t>Meridian Knowledge Solutions</t>
  </si>
  <si>
    <t>Ust Global</t>
  </si>
  <si>
    <t>Img Systems</t>
  </si>
  <si>
    <t>Trident Systems Inc</t>
  </si>
  <si>
    <t>First Health Group</t>
  </si>
  <si>
    <t>Progress Rail, A Caterpillar Company</t>
  </si>
  <si>
    <t>Axiologic Solutions</t>
  </si>
  <si>
    <t>Indigo Slate</t>
  </si>
  <si>
    <t>Cubic</t>
  </si>
  <si>
    <t>Advanced Bio-Logic Solutions Corp</t>
  </si>
  <si>
    <t>Alignment Healthcare</t>
  </si>
  <si>
    <t>Wgsn</t>
  </si>
  <si>
    <t>Isys Technologies, Inc</t>
  </si>
  <si>
    <t>Transvoyant</t>
  </si>
  <si>
    <t>Geotab</t>
  </si>
  <si>
    <t>Eglobaltech</t>
  </si>
  <si>
    <t>Central Business Solutions, Inc</t>
  </si>
  <si>
    <t>Kehe Distributors</t>
  </si>
  <si>
    <t>Moxie Software</t>
  </si>
  <si>
    <t>Unicom Technologies Inc</t>
  </si>
  <si>
    <t>Americo Life</t>
  </si>
  <si>
    <t>Tokio Marine Hcc</t>
  </si>
  <si>
    <t>Caci International</t>
  </si>
  <si>
    <t>Qurate Retail Group</t>
  </si>
  <si>
    <t>A-Line Staffing Solutions</t>
  </si>
  <si>
    <t>Criterion Systems, Inc</t>
  </si>
  <si>
    <t>Foundation Medicine</t>
  </si>
  <si>
    <t>Tranzact</t>
  </si>
  <si>
    <t>Chateck Incorporated</t>
  </si>
  <si>
    <t>Avg _salary</t>
  </si>
  <si>
    <t>Max_salary</t>
  </si>
  <si>
    <t>Min_salary</t>
  </si>
  <si>
    <t>Company_age</t>
  </si>
  <si>
    <t>Sum of Avg _salary</t>
  </si>
  <si>
    <t>Grouped-age</t>
  </si>
  <si>
    <t>average_age_company</t>
  </si>
  <si>
    <t>Big_age_company</t>
  </si>
  <si>
    <t>little_age_company</t>
  </si>
  <si>
    <t>Grouped_age_company</t>
  </si>
  <si>
    <t>Average of Avg _salary</t>
  </si>
  <si>
    <t>Number of jobs</t>
  </si>
  <si>
    <t>Average_salary</t>
  </si>
  <si>
    <t>Max salary</t>
  </si>
  <si>
    <t>Min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</si>
</sst>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61D2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E86B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wrapText="1"/>
    </xf>
    <xf numFmtId="49"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10" xfId="0" applyFont="1" applyBorder="1"/>
    <xf numFmtId="0" fontId="0" fillId="0" borderId="11" xfId="0" applyFont="1" applyBorder="1"/>
    <xf numFmtId="0" fontId="0" fillId="0" borderId="12" xfId="0" applyFont="1" applyBorder="1"/>
    <xf numFmtId="0" fontId="13" fillId="34" borderId="13" xfId="0" applyFont="1" applyFill="1" applyBorder="1"/>
    <xf numFmtId="0" fontId="13" fillId="34" borderId="14" xfId="0" applyFont="1" applyFill="1" applyBorder="1"/>
    <xf numFmtId="0" fontId="13" fillId="34" borderId="15" xfId="0" applyFont="1" applyFill="1" applyBorder="1"/>
    <xf numFmtId="0" fontId="0" fillId="33" borderId="13" xfId="0" applyFont="1" applyFill="1" applyBorder="1"/>
    <xf numFmtId="0" fontId="0" fillId="33" borderId="14" xfId="0" applyFont="1" applyFill="1" applyBorder="1"/>
    <xf numFmtId="0" fontId="0" fillId="33" borderId="14" xfId="0" applyFont="1" applyFill="1" applyBorder="1" applyAlignment="1">
      <alignment wrapText="1"/>
    </xf>
    <xf numFmtId="49" fontId="0" fillId="33" borderId="14" xfId="0" applyNumberFormat="1" applyFont="1" applyFill="1" applyBorder="1"/>
    <xf numFmtId="0" fontId="0" fillId="33" borderId="15" xfId="0" applyFont="1" applyFill="1" applyBorder="1"/>
    <xf numFmtId="0" fontId="0" fillId="0" borderId="13" xfId="0" applyFont="1" applyBorder="1"/>
    <xf numFmtId="0" fontId="0" fillId="0" borderId="14" xfId="0" applyFont="1" applyBorder="1"/>
    <xf numFmtId="0" fontId="0" fillId="0" borderId="14" xfId="0" applyFont="1" applyBorder="1" applyAlignment="1">
      <alignment wrapText="1"/>
    </xf>
    <xf numFmtId="49" fontId="0" fillId="0" borderId="14" xfId="0" applyNumberFormat="1" applyFont="1" applyBorder="1"/>
    <xf numFmtId="0" fontId="0" fillId="0" borderId="15" xfId="0" applyFont="1" applyBorder="1"/>
    <xf numFmtId="0" fontId="0" fillId="0" borderId="10" xfId="0" applyFont="1" applyBorder="1" applyAlignment="1">
      <alignment wrapText="1"/>
    </xf>
    <xf numFmtId="49" fontId="0" fillId="0" borderId="10" xfId="0" applyNumberFormat="1" applyFont="1" applyBorder="1"/>
    <xf numFmtId="0" fontId="18"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61D28"/>
      <color rgb="FF125370"/>
      <color rgb="FF1E86B4"/>
      <color rgb="FF1458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[Uncleaned_DS_jobs.xlsx]Pivot _tables!PivotTable1</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b="1">
                <a:solidFill>
                  <a:schemeClr val="accent1"/>
                </a:solidFill>
              </a:rPr>
              <a:t>Sum of average salary by sector</a:t>
            </a:r>
          </a:p>
        </c:rich>
      </c:tx>
      <c:layout>
        <c:manualLayout>
          <c:xMode val="edge"/>
          <c:yMode val="edge"/>
          <c:x val="0.3143125546806649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22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44378827646547"/>
          <c:y val="0.14291447944006999"/>
          <c:w val="0.39485695538057741"/>
          <c:h val="0.80098242927967334"/>
        </c:manualLayout>
      </c:layout>
      <c:barChart>
        <c:barDir val="bar"/>
        <c:grouping val="clustered"/>
        <c:varyColors val="0"/>
        <c:ser>
          <c:idx val="0"/>
          <c:order val="0"/>
          <c:tx>
            <c:strRef>
              <c:f>'Pivot _tables'!$B$22</c:f>
              <c:strCache>
                <c:ptCount val="1"/>
                <c:pt idx="0">
                  <c:v>Total</c:v>
                </c:pt>
              </c:strCache>
            </c:strRef>
          </c:tx>
          <c:spPr>
            <a:solidFill>
              <a:schemeClr val="accent1"/>
            </a:solidFill>
            <a:ln w="222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_tables'!$A$23:$A$45</c:f>
              <c:strCache>
                <c:ptCount val="23"/>
                <c:pt idx="0">
                  <c:v>-1</c:v>
                </c:pt>
                <c:pt idx="1">
                  <c:v>Accounting &amp; Legal</c:v>
                </c:pt>
                <c:pt idx="2">
                  <c:v>Aerospace &amp; Defense</c:v>
                </c:pt>
                <c:pt idx="3">
                  <c:v>Agriculture &amp; Forestry</c:v>
                </c:pt>
                <c:pt idx="4">
                  <c:v>Biotech &amp; Pharmaceuticals</c:v>
                </c:pt>
                <c:pt idx="5">
                  <c:v>Business Services</c:v>
                </c:pt>
                <c:pt idx="6">
                  <c:v>Construction, Repair &amp; Maintenance</c:v>
                </c:pt>
                <c:pt idx="7">
                  <c:v>Consumer Services</c:v>
                </c:pt>
                <c:pt idx="8">
                  <c:v>Education</c:v>
                </c:pt>
                <c:pt idx="9">
                  <c:v>Finance</c:v>
                </c:pt>
                <c:pt idx="10">
                  <c:v>Government</c:v>
                </c:pt>
                <c:pt idx="11">
                  <c:v>Health Care</c:v>
                </c:pt>
                <c:pt idx="12">
                  <c:v>Information Technology</c:v>
                </c:pt>
                <c:pt idx="13">
                  <c:v>Insurance</c:v>
                </c:pt>
                <c:pt idx="14">
                  <c:v>Manufacturing</c:v>
                </c:pt>
                <c:pt idx="15">
                  <c:v>Media</c:v>
                </c:pt>
                <c:pt idx="16">
                  <c:v>Non-Profit</c:v>
                </c:pt>
                <c:pt idx="17">
                  <c:v>Oil, Gas, Energy &amp; Utilities</c:v>
                </c:pt>
                <c:pt idx="18">
                  <c:v>Real Estate</c:v>
                </c:pt>
                <c:pt idx="19">
                  <c:v>Retail</c:v>
                </c:pt>
                <c:pt idx="20">
                  <c:v>Telecommunications</c:v>
                </c:pt>
                <c:pt idx="21">
                  <c:v>Transportation &amp; Logistics</c:v>
                </c:pt>
                <c:pt idx="22">
                  <c:v>Travel &amp; Tourism</c:v>
                </c:pt>
              </c:strCache>
            </c:strRef>
          </c:cat>
          <c:val>
            <c:numRef>
              <c:f>'Pivot _tables'!$B$23:$B$45</c:f>
              <c:numCache>
                <c:formatCode>0</c:formatCode>
                <c:ptCount val="23"/>
                <c:pt idx="0">
                  <c:v>129.66901408450704</c:v>
                </c:pt>
                <c:pt idx="1">
                  <c:v>124.66666666666667</c:v>
                </c:pt>
                <c:pt idx="2">
                  <c:v>132.69565217391303</c:v>
                </c:pt>
                <c:pt idx="3">
                  <c:v>103.83333333333333</c:v>
                </c:pt>
                <c:pt idx="4">
                  <c:v>122.87121212121212</c:v>
                </c:pt>
                <c:pt idx="5">
                  <c:v>130.07916666666668</c:v>
                </c:pt>
                <c:pt idx="6">
                  <c:v>74.75</c:v>
                </c:pt>
                <c:pt idx="7">
                  <c:v>203.75</c:v>
                </c:pt>
                <c:pt idx="8">
                  <c:v>117.83333333333333</c:v>
                </c:pt>
                <c:pt idx="9">
                  <c:v>115.5</c:v>
                </c:pt>
                <c:pt idx="10">
                  <c:v>134.47058823529412</c:v>
                </c:pt>
                <c:pt idx="11">
                  <c:v>119.76190476190476</c:v>
                </c:pt>
                <c:pt idx="12">
                  <c:v>118.90957446808511</c:v>
                </c:pt>
                <c:pt idx="13">
                  <c:v>111.28125</c:v>
                </c:pt>
                <c:pt idx="14">
                  <c:v>123.23913043478261</c:v>
                </c:pt>
                <c:pt idx="15">
                  <c:v>155.30000000000001</c:v>
                </c:pt>
                <c:pt idx="16">
                  <c:v>43.5</c:v>
                </c:pt>
                <c:pt idx="17">
                  <c:v>101.3</c:v>
                </c:pt>
                <c:pt idx="18">
                  <c:v>116.83333333333333</c:v>
                </c:pt>
                <c:pt idx="19">
                  <c:v>150.14285714285714</c:v>
                </c:pt>
                <c:pt idx="20">
                  <c:v>112.35714285714286</c:v>
                </c:pt>
                <c:pt idx="21">
                  <c:v>117.75</c:v>
                </c:pt>
                <c:pt idx="22">
                  <c:v>128.66666666666666</c:v>
                </c:pt>
              </c:numCache>
            </c:numRef>
          </c:val>
          <c:extLst>
            <c:ext xmlns:c16="http://schemas.microsoft.com/office/drawing/2014/chart" uri="{C3380CC4-5D6E-409C-BE32-E72D297353CC}">
              <c16:uniqueId val="{00000000-81BC-492A-BC60-0CE6FBB90D64}"/>
            </c:ext>
          </c:extLst>
        </c:ser>
        <c:dLbls>
          <c:showLegendKey val="0"/>
          <c:showVal val="0"/>
          <c:showCatName val="0"/>
          <c:showSerName val="0"/>
          <c:showPercent val="0"/>
          <c:showBubbleSize val="0"/>
        </c:dLbls>
        <c:gapWidth val="182"/>
        <c:axId val="745453296"/>
        <c:axId val="745460856"/>
      </c:barChart>
      <c:catAx>
        <c:axId val="74545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60856"/>
        <c:crosses val="autoZero"/>
        <c:auto val="1"/>
        <c:lblAlgn val="ctr"/>
        <c:lblOffset val="100"/>
        <c:noMultiLvlLbl val="0"/>
      </c:catAx>
      <c:valAx>
        <c:axId val="745460856"/>
        <c:scaling>
          <c:orientation val="minMax"/>
          <c:min val="50"/>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54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[Uncleaned_DS_jobs.xlsx]Pivot 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Sum of average salary by Size </a:t>
            </a:r>
          </a:p>
        </c:rich>
      </c:tx>
      <c:layout>
        <c:manualLayout>
          <c:xMode val="edge"/>
          <c:yMode val="edge"/>
          <c:x val="0.2770485564304461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603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03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25371828521439E-2"/>
          <c:y val="0.1480485118167251"/>
          <c:w val="0.93138648293963255"/>
          <c:h val="0.60368284755580803"/>
        </c:manualLayout>
      </c:layout>
      <c:barChart>
        <c:barDir val="col"/>
        <c:grouping val="clustered"/>
        <c:varyColors val="0"/>
        <c:ser>
          <c:idx val="0"/>
          <c:order val="0"/>
          <c:tx>
            <c:strRef>
              <c:f>'Pivot _tables'!$B$48</c:f>
              <c:strCache>
                <c:ptCount val="1"/>
                <c:pt idx="0">
                  <c:v>Total</c:v>
                </c:pt>
              </c:strCache>
            </c:strRef>
          </c:tx>
          <c:spPr>
            <a:solidFill>
              <a:schemeClr val="accent1"/>
            </a:solidFill>
            <a:ln w="603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_tables'!$A$49:$A$57</c:f>
              <c:strCache>
                <c:ptCount val="9"/>
                <c:pt idx="0">
                  <c:v>-1</c:v>
                </c:pt>
                <c:pt idx="1">
                  <c:v>1 to 50 employees</c:v>
                </c:pt>
                <c:pt idx="2">
                  <c:v>10000+ employees</c:v>
                </c:pt>
                <c:pt idx="3">
                  <c:v>1001 to 5000 employees</c:v>
                </c:pt>
                <c:pt idx="4">
                  <c:v>201 to 500 employees</c:v>
                </c:pt>
                <c:pt idx="5">
                  <c:v>5001 to 10000 employees</c:v>
                </c:pt>
                <c:pt idx="6">
                  <c:v>501 to 1000 employees</c:v>
                </c:pt>
                <c:pt idx="7">
                  <c:v>51 to 200 employees</c:v>
                </c:pt>
                <c:pt idx="8">
                  <c:v>Unknown</c:v>
                </c:pt>
              </c:strCache>
            </c:strRef>
          </c:cat>
          <c:val>
            <c:numRef>
              <c:f>'Pivot _tables'!$B$49:$B$57</c:f>
              <c:numCache>
                <c:formatCode>0</c:formatCode>
                <c:ptCount val="9"/>
                <c:pt idx="0">
                  <c:v>3531.5</c:v>
                </c:pt>
                <c:pt idx="1">
                  <c:v>10319</c:v>
                </c:pt>
                <c:pt idx="2">
                  <c:v>9798.5</c:v>
                </c:pt>
                <c:pt idx="3">
                  <c:v>12662.5</c:v>
                </c:pt>
                <c:pt idx="4">
                  <c:v>10112.5</c:v>
                </c:pt>
                <c:pt idx="5">
                  <c:v>7726.5</c:v>
                </c:pt>
                <c:pt idx="6">
                  <c:v>9312</c:v>
                </c:pt>
                <c:pt idx="7">
                  <c:v>17202</c:v>
                </c:pt>
                <c:pt idx="8">
                  <c:v>2437.5</c:v>
                </c:pt>
              </c:numCache>
            </c:numRef>
          </c:val>
          <c:extLst>
            <c:ext xmlns:c16="http://schemas.microsoft.com/office/drawing/2014/chart" uri="{C3380CC4-5D6E-409C-BE32-E72D297353CC}">
              <c16:uniqueId val="{00000000-E85C-40D2-ADB6-3EF359F64724}"/>
            </c:ext>
          </c:extLst>
        </c:ser>
        <c:dLbls>
          <c:dLblPos val="outEnd"/>
          <c:showLegendKey val="0"/>
          <c:showVal val="1"/>
          <c:showCatName val="0"/>
          <c:showSerName val="0"/>
          <c:showPercent val="0"/>
          <c:showBubbleSize val="0"/>
        </c:dLbls>
        <c:gapWidth val="219"/>
        <c:overlap val="-27"/>
        <c:axId val="745453656"/>
        <c:axId val="745452216"/>
      </c:barChart>
      <c:catAx>
        <c:axId val="74545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52216"/>
        <c:crosses val="autoZero"/>
        <c:auto val="1"/>
        <c:lblAlgn val="ctr"/>
        <c:lblOffset val="100"/>
        <c:noMultiLvlLbl val="0"/>
      </c:catAx>
      <c:valAx>
        <c:axId val="7454522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5453656"/>
        <c:crosses val="autoZero"/>
        <c:crossBetween val="between"/>
      </c:valAx>
      <c:spPr>
        <a:noFill/>
        <a:ln>
          <a:noFill/>
        </a:ln>
        <a:effectLst/>
      </c:spPr>
    </c:plotArea>
    <c:legend>
      <c:legendPos val="r"/>
      <c:layout>
        <c:manualLayout>
          <c:xMode val="edge"/>
          <c:yMode val="edge"/>
          <c:x val="0.45807852143482064"/>
          <c:y val="0.89459463400408279"/>
          <c:w val="9.7576851910845808E-2"/>
          <c:h val="8.4478545320051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[Uncleaned_DS_jobs.xlsx]Pivot _tables!PivotTable3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75057" dist="38100" dir="5400000" sy="-20000" rotWithShape="0">
                    <a:schemeClr val="bg1">
                      <a:alpha val="25000"/>
                    </a:schemeClr>
                  </a:outerShdw>
                </a:effectLst>
                <a:latin typeface="+mn-lt"/>
                <a:ea typeface="+mn-ea"/>
                <a:cs typeface="+mn-cs"/>
              </a:defRPr>
            </a:pPr>
            <a:r>
              <a:rPr lang="en-US" b="1">
                <a:solidFill>
                  <a:schemeClr val="accent1"/>
                </a:solidFill>
              </a:rPr>
              <a:t>sum of average</a:t>
            </a:r>
            <a:r>
              <a:rPr lang="en-US" b="1" baseline="0">
                <a:solidFill>
                  <a:schemeClr val="accent1"/>
                </a:solidFill>
              </a:rPr>
              <a:t> salary by company grouped age</a:t>
            </a:r>
            <a:endParaRPr lang="en-US" b="1">
              <a:solidFill>
                <a:schemeClr val="accent1"/>
              </a:solidFill>
            </a:endParaRPr>
          </a:p>
        </c:rich>
      </c:tx>
      <c:layout>
        <c:manualLayout>
          <c:xMode val="edge"/>
          <c:yMode val="edge"/>
          <c:x val="0.1175137795275590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75057" dist="38100" dir="5400000" sy="-20000" rotWithShape="0">
                  <a:schemeClr val="bg1">
                    <a:alpha val="25000"/>
                  </a:schemeClr>
                </a:outerShdw>
              </a:effectLst>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5057" dist="38100" dir="5400000" sy="-20000" rotWithShape="0">
                      <a:schemeClr val="bg1">
                        <a:alpha val="25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5057" dist="38100" dir="5400000" sy="-20000" rotWithShape="0">
                      <a:schemeClr val="bg1">
                        <a:alpha val="25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tint val="65000"/>
            </a:schemeClr>
          </a:solidFill>
          <a:ln w="19050">
            <a:solidFill>
              <a:schemeClr val="lt1">
                <a:shade val="50000"/>
              </a:schemeClr>
            </a:solidFill>
          </a:ln>
          <a:effectLst/>
        </c:spPr>
      </c:pivotFmt>
      <c:pivotFmt>
        <c:idx val="3"/>
        <c:spPr>
          <a:solidFill>
            <a:schemeClr val="accent4"/>
          </a:solidFill>
          <a:ln w="19050">
            <a:solidFill>
              <a:schemeClr val="lt1">
                <a:shade val="50000"/>
              </a:schemeClr>
            </a:solidFill>
          </a:ln>
          <a:effectLst/>
        </c:spPr>
      </c:pivotFmt>
      <c:pivotFmt>
        <c:idx val="4"/>
        <c:spPr>
          <a:solidFill>
            <a:schemeClr val="accent4">
              <a:shade val="65000"/>
            </a:schemeClr>
          </a:solidFill>
          <a:ln w="19050">
            <a:solidFill>
              <a:schemeClr val="lt1">
                <a:shade val="50000"/>
              </a:schemeClr>
            </a:solidFill>
          </a:ln>
          <a:effectLst/>
        </c:spPr>
      </c:pivotFmt>
    </c:pivotFmts>
    <c:plotArea>
      <c:layout>
        <c:manualLayout>
          <c:layoutTarget val="inner"/>
          <c:xMode val="edge"/>
          <c:yMode val="edge"/>
          <c:x val="0.17525524934383202"/>
          <c:y val="0.18751239428404784"/>
          <c:w val="0.4412893700787402"/>
          <c:h val="0.73548228346456701"/>
        </c:manualLayout>
      </c:layout>
      <c:doughnutChart>
        <c:varyColors val="1"/>
        <c:ser>
          <c:idx val="0"/>
          <c:order val="0"/>
          <c:tx>
            <c:strRef>
              <c:f>'Pivot _tables'!$B$61</c:f>
              <c:strCache>
                <c:ptCount val="1"/>
                <c:pt idx="0">
                  <c:v>Total</c:v>
                </c:pt>
              </c:strCache>
            </c:strRef>
          </c:tx>
          <c:spPr>
            <a:ln>
              <a:solidFill>
                <a:schemeClr val="lt1">
                  <a:shade val="50000"/>
                </a:schemeClr>
              </a:solidFill>
            </a:ln>
          </c:spPr>
          <c:dPt>
            <c:idx val="0"/>
            <c:bubble3D val="0"/>
            <c:spPr>
              <a:solidFill>
                <a:schemeClr val="accent4">
                  <a:tint val="65000"/>
                </a:schemeClr>
              </a:solidFill>
              <a:ln w="19050">
                <a:solidFill>
                  <a:schemeClr val="lt1">
                    <a:shade val="50000"/>
                  </a:schemeClr>
                </a:solidFill>
              </a:ln>
              <a:effectLst/>
            </c:spPr>
            <c:extLst>
              <c:ext xmlns:c16="http://schemas.microsoft.com/office/drawing/2014/chart" uri="{C3380CC4-5D6E-409C-BE32-E72D297353CC}">
                <c16:uniqueId val="{00000001-7D33-46A6-89D5-FED75EFB3D6C}"/>
              </c:ext>
            </c:extLst>
          </c:dPt>
          <c:dPt>
            <c:idx val="1"/>
            <c:bubble3D val="0"/>
            <c:spPr>
              <a:solidFill>
                <a:schemeClr val="accent4"/>
              </a:solidFill>
              <a:ln w="19050">
                <a:solidFill>
                  <a:schemeClr val="lt1">
                    <a:shade val="50000"/>
                  </a:schemeClr>
                </a:solidFill>
              </a:ln>
              <a:effectLst/>
            </c:spPr>
            <c:extLst>
              <c:ext xmlns:c16="http://schemas.microsoft.com/office/drawing/2014/chart" uri="{C3380CC4-5D6E-409C-BE32-E72D297353CC}">
                <c16:uniqueId val="{00000003-7D33-46A6-89D5-FED75EFB3D6C}"/>
              </c:ext>
            </c:extLst>
          </c:dPt>
          <c:dPt>
            <c:idx val="2"/>
            <c:bubble3D val="0"/>
            <c:spPr>
              <a:solidFill>
                <a:schemeClr val="accent4">
                  <a:shade val="65000"/>
                </a:schemeClr>
              </a:solidFill>
              <a:ln w="19050">
                <a:solidFill>
                  <a:schemeClr val="lt1">
                    <a:shade val="50000"/>
                  </a:schemeClr>
                </a:solidFill>
              </a:ln>
              <a:effectLst/>
            </c:spPr>
            <c:extLst>
              <c:ext xmlns:c16="http://schemas.microsoft.com/office/drawing/2014/chart" uri="{C3380CC4-5D6E-409C-BE32-E72D297353CC}">
                <c16:uniqueId val="{00000005-7D33-46A6-89D5-FED75EFB3D6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5057" dist="38100" dir="5400000" sy="-20000" rotWithShape="0">
                        <a:schemeClr val="bg1">
                          <a:alpha val="25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_tables'!$A$62:$A$64</c:f>
              <c:strCache>
                <c:ptCount val="3"/>
                <c:pt idx="0">
                  <c:v>average_age_company</c:v>
                </c:pt>
                <c:pt idx="1">
                  <c:v>Big_age_company</c:v>
                </c:pt>
                <c:pt idx="2">
                  <c:v>little_age_company</c:v>
                </c:pt>
              </c:strCache>
            </c:strRef>
          </c:cat>
          <c:val>
            <c:numRef>
              <c:f>'Pivot _tables'!$B$62:$B$64</c:f>
              <c:numCache>
                <c:formatCode>0</c:formatCode>
                <c:ptCount val="3"/>
                <c:pt idx="0">
                  <c:v>22390.5</c:v>
                </c:pt>
                <c:pt idx="1">
                  <c:v>42344.5</c:v>
                </c:pt>
                <c:pt idx="2">
                  <c:v>18367</c:v>
                </c:pt>
              </c:numCache>
            </c:numRef>
          </c:val>
          <c:extLst>
            <c:ext xmlns:c16="http://schemas.microsoft.com/office/drawing/2014/chart" uri="{C3380CC4-5D6E-409C-BE32-E72D297353CC}">
              <c16:uniqueId val="{00000006-7D33-46A6-89D5-FED75EFB3D6C}"/>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75057" dist="38100" dir="5400000" sy="-20000" rotWithShape="0">
                  <a:schemeClr val="bg1">
                    <a:alpha val="25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effectLst>
            <a:outerShdw blurRad="75057" dist="38100" dir="5400000" sy="-20000" rotWithShape="0">
              <a:schemeClr val="bg1">
                <a:alpha val="25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10160</xdr:rowOff>
    </xdr:from>
    <xdr:to>
      <xdr:col>25</xdr:col>
      <xdr:colOff>335280</xdr:colOff>
      <xdr:row>2</xdr:row>
      <xdr:rowOff>162560</xdr:rowOff>
    </xdr:to>
    <xdr:sp macro="" textlink="">
      <xdr:nvSpPr>
        <xdr:cNvPr id="5" name="Rectangle: Rounded Corners 4">
          <a:extLst>
            <a:ext uri="{FF2B5EF4-FFF2-40B4-BE49-F238E27FC236}">
              <a16:creationId xmlns:a16="http://schemas.microsoft.com/office/drawing/2014/main" id="{E087C5A2-B316-3610-E797-F085D3037DE9}"/>
            </a:ext>
          </a:extLst>
        </xdr:cNvPr>
        <xdr:cNvSpPr/>
      </xdr:nvSpPr>
      <xdr:spPr>
        <a:xfrm>
          <a:off x="0" y="10160"/>
          <a:ext cx="15575280" cy="51816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xdr:from>
      <xdr:col>25</xdr:col>
      <xdr:colOff>396240</xdr:colOff>
      <xdr:row>0</xdr:row>
      <xdr:rowOff>0</xdr:rowOff>
    </xdr:from>
    <xdr:to>
      <xdr:col>30</xdr:col>
      <xdr:colOff>497840</xdr:colOff>
      <xdr:row>40</xdr:row>
      <xdr:rowOff>60960</xdr:rowOff>
    </xdr:to>
    <xdr:sp macro="" textlink="">
      <xdr:nvSpPr>
        <xdr:cNvPr id="6" name="Rectangle: Rounded Corners 5">
          <a:extLst>
            <a:ext uri="{FF2B5EF4-FFF2-40B4-BE49-F238E27FC236}">
              <a16:creationId xmlns:a16="http://schemas.microsoft.com/office/drawing/2014/main" id="{EB750720-753B-C2C3-1630-8D6DC7B4E2C0}"/>
            </a:ext>
          </a:extLst>
        </xdr:cNvPr>
        <xdr:cNvSpPr/>
      </xdr:nvSpPr>
      <xdr:spPr>
        <a:xfrm>
          <a:off x="15636240" y="0"/>
          <a:ext cx="3149600" cy="737616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20320</xdr:colOff>
      <xdr:row>0</xdr:row>
      <xdr:rowOff>30480</xdr:rowOff>
    </xdr:from>
    <xdr:to>
      <xdr:col>19</xdr:col>
      <xdr:colOff>71120</xdr:colOff>
      <xdr:row>3</xdr:row>
      <xdr:rowOff>20320</xdr:rowOff>
    </xdr:to>
    <xdr:sp macro="" textlink="">
      <xdr:nvSpPr>
        <xdr:cNvPr id="7" name="TextBox 6">
          <a:extLst>
            <a:ext uri="{FF2B5EF4-FFF2-40B4-BE49-F238E27FC236}">
              <a16:creationId xmlns:a16="http://schemas.microsoft.com/office/drawing/2014/main" id="{84F9AC63-E420-C195-976D-71B50433A5E8}"/>
            </a:ext>
          </a:extLst>
        </xdr:cNvPr>
        <xdr:cNvSpPr txBox="1"/>
      </xdr:nvSpPr>
      <xdr:spPr>
        <a:xfrm>
          <a:off x="4287520" y="30480"/>
          <a:ext cx="7366000" cy="538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B050"/>
              </a:solidFill>
              <a:latin typeface="Arial" panose="020B0604020202020204" pitchFamily="34" charset="0"/>
              <a:cs typeface="Arial" panose="020B0604020202020204" pitchFamily="34" charset="0"/>
            </a:rPr>
            <a:t>Data science Job Dashboard 2020</a:t>
          </a:r>
        </a:p>
      </xdr:txBody>
    </xdr:sp>
    <xdr:clientData/>
  </xdr:twoCellAnchor>
  <xdr:twoCellAnchor>
    <xdr:from>
      <xdr:col>0</xdr:col>
      <xdr:colOff>81013</xdr:colOff>
      <xdr:row>9</xdr:row>
      <xdr:rowOff>170715</xdr:rowOff>
    </xdr:from>
    <xdr:to>
      <xdr:col>25</xdr:col>
      <xdr:colOff>385813</xdr:colOff>
      <xdr:row>27</xdr:row>
      <xdr:rowOff>61361</xdr:rowOff>
    </xdr:to>
    <xdr:grpSp>
      <xdr:nvGrpSpPr>
        <xdr:cNvPr id="32" name="Group 31">
          <a:extLst>
            <a:ext uri="{FF2B5EF4-FFF2-40B4-BE49-F238E27FC236}">
              <a16:creationId xmlns:a16="http://schemas.microsoft.com/office/drawing/2014/main" id="{32409481-464A-C258-F7AE-89617B600C1C}"/>
            </a:ext>
          </a:extLst>
        </xdr:cNvPr>
        <xdr:cNvGrpSpPr/>
      </xdr:nvGrpSpPr>
      <xdr:grpSpPr>
        <a:xfrm>
          <a:off x="81013" y="1794978"/>
          <a:ext cx="15594932" cy="3139172"/>
          <a:chOff x="60960" y="1825057"/>
          <a:chExt cx="15594932" cy="3139172"/>
        </a:xfrm>
      </xdr:grpSpPr>
      <xdr:sp macro="" textlink="">
        <xdr:nvSpPr>
          <xdr:cNvPr id="8" name="Rectangle: Rounded Corners 7">
            <a:extLst>
              <a:ext uri="{FF2B5EF4-FFF2-40B4-BE49-F238E27FC236}">
                <a16:creationId xmlns:a16="http://schemas.microsoft.com/office/drawing/2014/main" id="{D74EE578-4C71-7ABF-3779-FAB48BB3C4B8}"/>
              </a:ext>
            </a:extLst>
          </xdr:cNvPr>
          <xdr:cNvSpPr/>
        </xdr:nvSpPr>
        <xdr:spPr>
          <a:xfrm>
            <a:off x="60960" y="1825057"/>
            <a:ext cx="7796463" cy="3129012"/>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07324D5-223B-4551-B4EA-41EAB2295466}"/>
              </a:ext>
            </a:extLst>
          </xdr:cNvPr>
          <xdr:cNvSpPr/>
        </xdr:nvSpPr>
        <xdr:spPr>
          <a:xfrm>
            <a:off x="7961028" y="1835217"/>
            <a:ext cx="7694864" cy="3129012"/>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101600</xdr:colOff>
      <xdr:row>28</xdr:row>
      <xdr:rowOff>30480</xdr:rowOff>
    </xdr:from>
    <xdr:to>
      <xdr:col>25</xdr:col>
      <xdr:colOff>355600</xdr:colOff>
      <xdr:row>47</xdr:row>
      <xdr:rowOff>50800</xdr:rowOff>
    </xdr:to>
    <xdr:sp macro="" textlink="">
      <xdr:nvSpPr>
        <xdr:cNvPr id="10" name="Rectangle: Rounded Corners 9">
          <a:extLst>
            <a:ext uri="{FF2B5EF4-FFF2-40B4-BE49-F238E27FC236}">
              <a16:creationId xmlns:a16="http://schemas.microsoft.com/office/drawing/2014/main" id="{7F3FA3E0-EBB4-452D-8E89-0C06D5235323}"/>
            </a:ext>
          </a:extLst>
        </xdr:cNvPr>
        <xdr:cNvSpPr/>
      </xdr:nvSpPr>
      <xdr:spPr>
        <a:xfrm>
          <a:off x="101600" y="5151120"/>
          <a:ext cx="15494000" cy="34950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3</xdr:row>
      <xdr:rowOff>40640</xdr:rowOff>
    </xdr:from>
    <xdr:to>
      <xdr:col>25</xdr:col>
      <xdr:colOff>345440</xdr:colOff>
      <xdr:row>8</xdr:row>
      <xdr:rowOff>121920</xdr:rowOff>
    </xdr:to>
    <xdr:sp macro="" textlink="">
      <xdr:nvSpPr>
        <xdr:cNvPr id="11" name="Rectangle: Rounded Corners 10">
          <a:extLst>
            <a:ext uri="{FF2B5EF4-FFF2-40B4-BE49-F238E27FC236}">
              <a16:creationId xmlns:a16="http://schemas.microsoft.com/office/drawing/2014/main" id="{A49AE9E9-63B3-4B1D-A535-806C237BB75C}"/>
            </a:ext>
          </a:extLst>
        </xdr:cNvPr>
        <xdr:cNvSpPr/>
      </xdr:nvSpPr>
      <xdr:spPr>
        <a:xfrm>
          <a:off x="30480" y="589280"/>
          <a:ext cx="15554960" cy="99568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81280</xdr:colOff>
      <xdr:row>3</xdr:row>
      <xdr:rowOff>40640</xdr:rowOff>
    </xdr:from>
    <xdr:to>
      <xdr:col>21</xdr:col>
      <xdr:colOff>558800</xdr:colOff>
      <xdr:row>7</xdr:row>
      <xdr:rowOff>152400</xdr:rowOff>
    </xdr:to>
    <xdr:grpSp>
      <xdr:nvGrpSpPr>
        <xdr:cNvPr id="26" name="Group 25">
          <a:extLst>
            <a:ext uri="{FF2B5EF4-FFF2-40B4-BE49-F238E27FC236}">
              <a16:creationId xmlns:a16="http://schemas.microsoft.com/office/drawing/2014/main" id="{A7F0BA1A-FE2A-7367-AEBE-D2B4809CA144}"/>
            </a:ext>
          </a:extLst>
        </xdr:cNvPr>
        <xdr:cNvGrpSpPr/>
      </xdr:nvGrpSpPr>
      <xdr:grpSpPr>
        <a:xfrm>
          <a:off x="1304491" y="582061"/>
          <a:ext cx="12098020" cy="833655"/>
          <a:chOff x="1300480" y="589280"/>
          <a:chExt cx="12059920" cy="843280"/>
        </a:xfrm>
      </xdr:grpSpPr>
      <xdr:grpSp>
        <xdr:nvGrpSpPr>
          <xdr:cNvPr id="14" name="Group 13">
            <a:extLst>
              <a:ext uri="{FF2B5EF4-FFF2-40B4-BE49-F238E27FC236}">
                <a16:creationId xmlns:a16="http://schemas.microsoft.com/office/drawing/2014/main" id="{54CBF346-9F4C-4885-0D4A-1A10EC60B6F9}"/>
              </a:ext>
            </a:extLst>
          </xdr:cNvPr>
          <xdr:cNvGrpSpPr/>
        </xdr:nvGrpSpPr>
        <xdr:grpSpPr>
          <a:xfrm>
            <a:off x="1300480" y="643466"/>
            <a:ext cx="1940560" cy="762000"/>
            <a:chOff x="2479040" y="3535680"/>
            <a:chExt cx="1940560" cy="762000"/>
          </a:xfrm>
        </xdr:grpSpPr>
        <xdr:sp macro="" textlink="">
          <xdr:nvSpPr>
            <xdr:cNvPr id="12" name="TextBox 11">
              <a:extLst>
                <a:ext uri="{FF2B5EF4-FFF2-40B4-BE49-F238E27FC236}">
                  <a16:creationId xmlns:a16="http://schemas.microsoft.com/office/drawing/2014/main" id="{4C1B79FA-11C4-F3CC-B51D-DEE0EC39E768}"/>
                </a:ext>
              </a:extLst>
            </xdr:cNvPr>
            <xdr:cNvSpPr txBox="1"/>
          </xdr:nvSpPr>
          <xdr:spPr>
            <a:xfrm>
              <a:off x="2479040" y="3535680"/>
              <a:ext cx="19405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B050"/>
                  </a:solidFill>
                  <a:latin typeface="Arial" panose="020B0604020202020204" pitchFamily="34" charset="0"/>
                  <a:cs typeface="Arial" panose="020B0604020202020204" pitchFamily="34" charset="0"/>
                </a:rPr>
                <a:t>Number</a:t>
              </a:r>
              <a:r>
                <a:rPr lang="en-US" sz="1100" b="1" baseline="0">
                  <a:solidFill>
                    <a:srgbClr val="00B050"/>
                  </a:solidFill>
                  <a:latin typeface="Arial" panose="020B0604020202020204" pitchFamily="34" charset="0"/>
                  <a:cs typeface="Arial" panose="020B0604020202020204" pitchFamily="34" charset="0"/>
                </a:rPr>
                <a:t> of  jobs  </a:t>
              </a:r>
              <a:endParaRPr lang="en-US" sz="1100" b="1">
                <a:solidFill>
                  <a:srgbClr val="00B050"/>
                </a:solidFill>
                <a:latin typeface="Arial" panose="020B0604020202020204" pitchFamily="34" charset="0"/>
                <a:cs typeface="Arial" panose="020B0604020202020204" pitchFamily="34" charset="0"/>
              </a:endParaRPr>
            </a:p>
          </xdr:txBody>
        </xdr:sp>
        <xdr:sp macro="" textlink="">
          <xdr:nvSpPr>
            <xdr:cNvPr id="13" name="TextBox 12">
              <a:extLst>
                <a:ext uri="{FF2B5EF4-FFF2-40B4-BE49-F238E27FC236}">
                  <a16:creationId xmlns:a16="http://schemas.microsoft.com/office/drawing/2014/main" id="{4FFD33DD-C017-1611-C436-AFF2F5230FC5}"/>
                </a:ext>
              </a:extLst>
            </xdr:cNvPr>
            <xdr:cNvSpPr txBox="1"/>
          </xdr:nvSpPr>
          <xdr:spPr>
            <a:xfrm>
              <a:off x="2712720" y="3799840"/>
              <a:ext cx="1402080" cy="406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B050"/>
                  </a:solidFill>
                </a:rPr>
                <a:t> 672</a:t>
              </a:r>
            </a:p>
          </xdr:txBody>
        </xdr:sp>
      </xdr:grpSp>
      <xdr:grpSp>
        <xdr:nvGrpSpPr>
          <xdr:cNvPr id="16" name="Group 15">
            <a:extLst>
              <a:ext uri="{FF2B5EF4-FFF2-40B4-BE49-F238E27FC236}">
                <a16:creationId xmlns:a16="http://schemas.microsoft.com/office/drawing/2014/main" id="{6CCECA73-6607-4745-949B-9259BF116EC1}"/>
              </a:ext>
            </a:extLst>
          </xdr:cNvPr>
          <xdr:cNvGrpSpPr/>
        </xdr:nvGrpSpPr>
        <xdr:grpSpPr>
          <a:xfrm>
            <a:off x="4673600" y="616373"/>
            <a:ext cx="1940560" cy="762000"/>
            <a:chOff x="5862320" y="3749040"/>
            <a:chExt cx="1940560" cy="762000"/>
          </a:xfrm>
        </xdr:grpSpPr>
        <xdr:sp macro="" textlink="">
          <xdr:nvSpPr>
            <xdr:cNvPr id="17" name="TextBox 16">
              <a:extLst>
                <a:ext uri="{FF2B5EF4-FFF2-40B4-BE49-F238E27FC236}">
                  <a16:creationId xmlns:a16="http://schemas.microsoft.com/office/drawing/2014/main" id="{80F7AC27-4F99-57F7-D033-4B7D3DB3257B}"/>
                </a:ext>
              </a:extLst>
            </xdr:cNvPr>
            <xdr:cNvSpPr txBox="1"/>
          </xdr:nvSpPr>
          <xdr:spPr>
            <a:xfrm>
              <a:off x="5862320" y="3749040"/>
              <a:ext cx="19405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B050"/>
                  </a:solidFill>
                  <a:latin typeface="Arial" panose="020B0604020202020204" pitchFamily="34" charset="0"/>
                  <a:cs typeface="Arial" panose="020B0604020202020204" pitchFamily="34" charset="0"/>
                </a:rPr>
                <a:t>Average salary</a:t>
              </a:r>
            </a:p>
          </xdr:txBody>
        </xdr:sp>
        <xdr:sp macro="" textlink="">
          <xdr:nvSpPr>
            <xdr:cNvPr id="18" name="TextBox 17">
              <a:extLst>
                <a:ext uri="{FF2B5EF4-FFF2-40B4-BE49-F238E27FC236}">
                  <a16:creationId xmlns:a16="http://schemas.microsoft.com/office/drawing/2014/main" id="{57EC2BFD-3588-B12C-651C-A9A7C4E8F391}"/>
                </a:ext>
              </a:extLst>
            </xdr:cNvPr>
            <xdr:cNvSpPr txBox="1"/>
          </xdr:nvSpPr>
          <xdr:spPr>
            <a:xfrm>
              <a:off x="6136309" y="4063874"/>
              <a:ext cx="1402080" cy="406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B050"/>
                  </a:solidFill>
                </a:rPr>
                <a:t>124</a:t>
              </a:r>
            </a:p>
          </xdr:txBody>
        </xdr:sp>
      </xdr:grpSp>
      <xdr:grpSp>
        <xdr:nvGrpSpPr>
          <xdr:cNvPr id="19" name="Group 18">
            <a:extLst>
              <a:ext uri="{FF2B5EF4-FFF2-40B4-BE49-F238E27FC236}">
                <a16:creationId xmlns:a16="http://schemas.microsoft.com/office/drawing/2014/main" id="{AA474CB5-4369-4EF3-8250-5CA75EC0874B}"/>
              </a:ext>
            </a:extLst>
          </xdr:cNvPr>
          <xdr:cNvGrpSpPr/>
        </xdr:nvGrpSpPr>
        <xdr:grpSpPr>
          <a:xfrm>
            <a:off x="8046720" y="670560"/>
            <a:ext cx="1940560" cy="762000"/>
            <a:chOff x="8382000" y="3677920"/>
            <a:chExt cx="1940560" cy="762000"/>
          </a:xfrm>
        </xdr:grpSpPr>
        <xdr:sp macro="" textlink="">
          <xdr:nvSpPr>
            <xdr:cNvPr id="20" name="TextBox 19">
              <a:extLst>
                <a:ext uri="{FF2B5EF4-FFF2-40B4-BE49-F238E27FC236}">
                  <a16:creationId xmlns:a16="http://schemas.microsoft.com/office/drawing/2014/main" id="{18A347BC-7008-B0F7-4C1D-3CEC235C90E9}"/>
                </a:ext>
              </a:extLst>
            </xdr:cNvPr>
            <xdr:cNvSpPr txBox="1"/>
          </xdr:nvSpPr>
          <xdr:spPr>
            <a:xfrm>
              <a:off x="8382000" y="3677920"/>
              <a:ext cx="19405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B050"/>
                  </a:solidFill>
                  <a:latin typeface="Arial" panose="020B0604020202020204" pitchFamily="34" charset="0"/>
                  <a:cs typeface="Arial" panose="020B0604020202020204" pitchFamily="34" charset="0"/>
                </a:rPr>
                <a:t>Max salary</a:t>
              </a:r>
            </a:p>
          </xdr:txBody>
        </xdr:sp>
        <xdr:sp macro="" textlink="">
          <xdr:nvSpPr>
            <xdr:cNvPr id="21" name="TextBox 20">
              <a:extLst>
                <a:ext uri="{FF2B5EF4-FFF2-40B4-BE49-F238E27FC236}">
                  <a16:creationId xmlns:a16="http://schemas.microsoft.com/office/drawing/2014/main" id="{A19384AD-6977-03A1-B54E-07CD8E7D6BCF}"/>
                </a:ext>
              </a:extLst>
            </xdr:cNvPr>
            <xdr:cNvSpPr txBox="1"/>
          </xdr:nvSpPr>
          <xdr:spPr>
            <a:xfrm>
              <a:off x="8656320" y="3901440"/>
              <a:ext cx="1402080" cy="406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B050"/>
                  </a:solidFill>
                </a:rPr>
                <a:t> 331</a:t>
              </a:r>
            </a:p>
          </xdr:txBody>
        </xdr:sp>
      </xdr:grpSp>
      <xdr:sp macro="" textlink="">
        <xdr:nvSpPr>
          <xdr:cNvPr id="23" name="TextBox 22">
            <a:extLst>
              <a:ext uri="{FF2B5EF4-FFF2-40B4-BE49-F238E27FC236}">
                <a16:creationId xmlns:a16="http://schemas.microsoft.com/office/drawing/2014/main" id="{533DD522-E77C-8AB8-F08D-D260E621E449}"/>
              </a:ext>
            </a:extLst>
          </xdr:cNvPr>
          <xdr:cNvSpPr txBox="1"/>
        </xdr:nvSpPr>
        <xdr:spPr>
          <a:xfrm>
            <a:off x="11419840" y="589280"/>
            <a:ext cx="19405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B050"/>
                </a:solidFill>
                <a:latin typeface="Arial" panose="020B0604020202020204" pitchFamily="34" charset="0"/>
                <a:cs typeface="Arial" panose="020B0604020202020204" pitchFamily="34" charset="0"/>
              </a:rPr>
              <a:t>Min salary</a:t>
            </a:r>
          </a:p>
        </xdr:txBody>
      </xdr:sp>
    </xdr:grpSp>
    <xdr:clientData/>
  </xdr:twoCellAnchor>
  <xdr:twoCellAnchor>
    <xdr:from>
      <xdr:col>19</xdr:col>
      <xdr:colOff>172720</xdr:colOff>
      <xdr:row>5</xdr:row>
      <xdr:rowOff>10160</xdr:rowOff>
    </xdr:from>
    <xdr:to>
      <xdr:col>21</xdr:col>
      <xdr:colOff>355600</xdr:colOff>
      <xdr:row>7</xdr:row>
      <xdr:rowOff>50800</xdr:rowOff>
    </xdr:to>
    <xdr:sp macro="" textlink="">
      <xdr:nvSpPr>
        <xdr:cNvPr id="25" name="TextBox 24">
          <a:extLst>
            <a:ext uri="{FF2B5EF4-FFF2-40B4-BE49-F238E27FC236}">
              <a16:creationId xmlns:a16="http://schemas.microsoft.com/office/drawing/2014/main" id="{DD7BE406-78DD-4328-AC96-F02B549C1BAC}"/>
            </a:ext>
          </a:extLst>
        </xdr:cNvPr>
        <xdr:cNvSpPr txBox="1"/>
      </xdr:nvSpPr>
      <xdr:spPr>
        <a:xfrm>
          <a:off x="11755120" y="924560"/>
          <a:ext cx="1402080" cy="406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B050"/>
              </a:solidFill>
            </a:rPr>
            <a:t>31</a:t>
          </a:r>
        </a:p>
      </xdr:txBody>
    </xdr:sp>
    <xdr:clientData/>
  </xdr:twoCellAnchor>
  <xdr:twoCellAnchor>
    <xdr:from>
      <xdr:col>0</xdr:col>
      <xdr:colOff>355600</xdr:colOff>
      <xdr:row>10</xdr:row>
      <xdr:rowOff>50800</xdr:rowOff>
    </xdr:from>
    <xdr:to>
      <xdr:col>11</xdr:col>
      <xdr:colOff>477520</xdr:colOff>
      <xdr:row>27</xdr:row>
      <xdr:rowOff>0</xdr:rowOff>
    </xdr:to>
    <xdr:graphicFrame macro="">
      <xdr:nvGraphicFramePr>
        <xdr:cNvPr id="27" name="Chart 1">
          <a:extLst>
            <a:ext uri="{FF2B5EF4-FFF2-40B4-BE49-F238E27FC236}">
              <a16:creationId xmlns:a16="http://schemas.microsoft.com/office/drawing/2014/main" id="{39E2558B-D797-08AD-A708-68ABAD26A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213360</xdr:colOff>
      <xdr:row>11</xdr:row>
      <xdr:rowOff>38795</xdr:rowOff>
    </xdr:from>
    <xdr:to>
      <xdr:col>25</xdr:col>
      <xdr:colOff>193040</xdr:colOff>
      <xdr:row>26</xdr:row>
      <xdr:rowOff>70184</xdr:rowOff>
    </xdr:to>
    <xdr:graphicFrame macro="">
      <xdr:nvGraphicFramePr>
        <xdr:cNvPr id="28" name="Chart 2">
          <a:extLst>
            <a:ext uri="{FF2B5EF4-FFF2-40B4-BE49-F238E27FC236}">
              <a16:creationId xmlns:a16="http://schemas.microsoft.com/office/drawing/2014/main" id="{286F6133-3C13-5F23-296A-1244E567D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240632</xdr:colOff>
      <xdr:row>28</xdr:row>
      <xdr:rowOff>113163</xdr:rowOff>
    </xdr:from>
    <xdr:to>
      <xdr:col>19</xdr:col>
      <xdr:colOff>320842</xdr:colOff>
      <xdr:row>45</xdr:row>
      <xdr:rowOff>132080</xdr:rowOff>
    </xdr:to>
    <xdr:graphicFrame macro="">
      <xdr:nvGraphicFramePr>
        <xdr:cNvPr id="29" name="Chart 3">
          <a:extLst>
            <a:ext uri="{FF2B5EF4-FFF2-40B4-BE49-F238E27FC236}">
              <a16:creationId xmlns:a16="http://schemas.microsoft.com/office/drawing/2014/main" id="{9130888B-26FF-7CE5-094F-89990E867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96983</xdr:colOff>
      <xdr:row>0</xdr:row>
      <xdr:rowOff>110837</xdr:rowOff>
    </xdr:from>
    <xdr:to>
      <xdr:col>29</xdr:col>
      <xdr:colOff>581891</xdr:colOff>
      <xdr:row>17</xdr:row>
      <xdr:rowOff>124690</xdr:rowOff>
    </xdr:to>
    <mc:AlternateContent xmlns:mc="http://schemas.openxmlformats.org/markup-compatibility/2006">
      <mc:Choice xmlns:a14="http://schemas.microsoft.com/office/drawing/2010/main" Requires="a14">
        <xdr:graphicFrame macro="">
          <xdr:nvGraphicFramePr>
            <xdr:cNvPr id="30" name="Sector">
              <a:extLst>
                <a:ext uri="{FF2B5EF4-FFF2-40B4-BE49-F238E27FC236}">
                  <a16:creationId xmlns:a16="http://schemas.microsoft.com/office/drawing/2014/main" id="{FAFF7917-35C9-47B3-A006-40CFC6142A0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5998720" y="110837"/>
              <a:ext cx="2319724" cy="3081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138545</xdr:colOff>
      <xdr:row>19</xdr:row>
      <xdr:rowOff>13855</xdr:rowOff>
    </xdr:from>
    <xdr:to>
      <xdr:col>29</xdr:col>
      <xdr:colOff>595745</xdr:colOff>
      <xdr:row>25</xdr:row>
      <xdr:rowOff>152400</xdr:rowOff>
    </xdr:to>
    <mc:AlternateContent xmlns:mc="http://schemas.openxmlformats.org/markup-compatibility/2006">
      <mc:Choice xmlns:a14="http://schemas.microsoft.com/office/drawing/2010/main" Requires="a14">
        <xdr:graphicFrame macro="">
          <xdr:nvGraphicFramePr>
            <xdr:cNvPr id="31" name="Grouped-age">
              <a:extLst>
                <a:ext uri="{FF2B5EF4-FFF2-40B4-BE49-F238E27FC236}">
                  <a16:creationId xmlns:a16="http://schemas.microsoft.com/office/drawing/2014/main" id="{4B532B5C-CF29-4A68-BDB4-08AC3DB5838C}"/>
                </a:ext>
              </a:extLst>
            </xdr:cNvPr>
            <xdr:cNvGraphicFramePr/>
          </xdr:nvGraphicFramePr>
          <xdr:xfrm>
            <a:off x="0" y="0"/>
            <a:ext cx="0" cy="0"/>
          </xdr:xfrm>
          <a:graphic>
            <a:graphicData uri="http://schemas.microsoft.com/office/drawing/2010/slicer">
              <sle:slicer xmlns:sle="http://schemas.microsoft.com/office/drawing/2010/slicer" name="Grouped-age"/>
            </a:graphicData>
          </a:graphic>
        </xdr:graphicFrame>
      </mc:Choice>
      <mc:Fallback>
        <xdr:sp macro="" textlink="">
          <xdr:nvSpPr>
            <xdr:cNvPr id="0" name=""/>
            <xdr:cNvSpPr>
              <a:spLocks noTextEdit="1"/>
            </xdr:cNvSpPr>
          </xdr:nvSpPr>
          <xdr:spPr>
            <a:xfrm>
              <a:off x="16040282" y="3442855"/>
              <a:ext cx="2292016" cy="1221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201.357027662038" createdVersion="8" refreshedVersion="8" minRefreshableVersion="3" recordCount="672" xr:uid="{34765319-A019-4DDD-9042-72F1F53BE630}">
  <cacheSource type="worksheet">
    <worksheetSource ref="A1:R673" sheet="Cleaned_DS_jobs"/>
  </cacheSource>
  <cacheFields count="18">
    <cacheField name="Job Title" numFmtId="0">
      <sharedItems/>
    </cacheField>
    <cacheField name="Salary Estimate" numFmtId="0">
      <sharedItems/>
    </cacheField>
    <cacheField name="Rating" numFmtId="0">
      <sharedItems containsSemiMixedTypes="0" containsString="0" containsNumber="1" minValue="-1" maxValue="5"/>
    </cacheField>
    <cacheField name="Company Name" numFmtId="0">
      <sharedItems/>
    </cacheField>
    <cacheField name="Location" numFmtId="0">
      <sharedItems/>
    </cacheField>
    <cacheField name="Headquarters" numFmtId="49">
      <sharedItems containsMixedTypes="1" containsNumber="1" containsInteger="1" minValue="-1" maxValue="-1"/>
    </cacheField>
    <cacheField name="Size" numFmtId="49">
      <sharedItems count="9">
        <s v="1001 to 5000 employees"/>
        <s v="5001 to 10000 employees"/>
        <s v="501 to 1000 employees"/>
        <s v="51 to 200 employees"/>
        <s v="10000+ employees"/>
        <s v="201 to 500 employees"/>
        <s v="1 to 50 employees"/>
        <s v="-1"/>
        <s v="Unknown"/>
      </sharedItems>
    </cacheField>
    <cacheField name="Founded" numFmtId="0">
      <sharedItems containsSemiMixedTypes="0" containsString="0" containsNumber="1" containsInteger="1" minValue="-1" maxValue="2019"/>
    </cacheField>
    <cacheField name="Type of ownership" numFmtId="49">
      <sharedItems/>
    </cacheField>
    <cacheField name="Industry" numFmtId="49">
      <sharedItems/>
    </cacheField>
    <cacheField name="Sector" numFmtId="49">
      <sharedItems count="23">
        <s v="Insurance"/>
        <s v="Business Services"/>
        <s v="Manufacturing"/>
        <s v="Information Technology"/>
        <s v="Biotech &amp; Pharmaceuticals"/>
        <s v="Retail"/>
        <s v="Oil, Gas, Energy &amp; Utilities"/>
        <s v="Government"/>
        <s v="Health Care"/>
        <s v="Finance"/>
        <s v="Aerospace &amp; Defense"/>
        <s v="-1"/>
        <s v="Transportation &amp; Logistics"/>
        <s v="Media"/>
        <s v="Telecommunications"/>
        <s v="Real Estate"/>
        <s v="Travel &amp; Tourism"/>
        <s v="Agriculture &amp; Forestry"/>
        <s v="Education"/>
        <s v="Accounting &amp; Legal"/>
        <s v="Non-Profit"/>
        <s v="Construction, Repair &amp; Maintenance"/>
        <s v="Consumer Services"/>
      </sharedItems>
    </cacheField>
    <cacheField name="Revenue" numFmtId="49">
      <sharedItems/>
    </cacheField>
    <cacheField name="Competitors" numFmtId="49">
      <sharedItems containsMixedTypes="1" containsNumber="1" containsInteger="1" minValue="-1" maxValue="-1"/>
    </cacheField>
    <cacheField name="Min_salary" numFmtId="0">
      <sharedItems containsSemiMixedTypes="0" containsString="0" containsNumber="1" containsInteger="1" minValue="31" maxValue="212"/>
    </cacheField>
    <cacheField name="Max_salary" numFmtId="0">
      <sharedItems containsSemiMixedTypes="0" containsString="0" containsNumber="1" containsInteger="1" minValue="56" maxValue="331"/>
    </cacheField>
    <cacheField name="Avg _salary" numFmtId="0">
      <sharedItems containsSemiMixedTypes="0" containsString="0" containsNumber="1" minValue="43.5" maxValue="271.5"/>
    </cacheField>
    <cacheField name="Company_age" numFmtId="0">
      <sharedItems containsSemiMixedTypes="0" containsString="0" containsNumber="1" containsInteger="1" minValue="-1" maxValue="2027" count="104">
        <n v="33"/>
        <n v="58"/>
        <n v="45"/>
        <n v="26"/>
        <n v="28"/>
        <n v="16"/>
        <n v="30"/>
        <n v="36"/>
        <n v="43"/>
        <n v="12"/>
        <n v="14"/>
        <n v="10"/>
        <n v="61"/>
        <n v="53"/>
        <n v="40"/>
        <n v="29"/>
        <n v="11"/>
        <n v="81"/>
        <n v="38"/>
        <n v="9"/>
        <n v="15"/>
        <n v="59"/>
        <n v="166"/>
        <n v="34"/>
        <n v="23"/>
        <n v="75"/>
        <n v="21"/>
        <n v="7"/>
        <n v="101"/>
        <n v="18"/>
        <n v="27"/>
        <n v="48"/>
        <n v="60"/>
        <n v="114"/>
        <n v="68"/>
        <n v="13"/>
        <n v="177"/>
        <n v="245"/>
        <n v="100"/>
        <n v="20"/>
        <n v="32"/>
        <n v="163"/>
        <n v="31"/>
        <n v="-1"/>
        <n v="44"/>
        <n v="52"/>
        <n v="25"/>
        <n v="41"/>
        <n v="113"/>
        <n v="55"/>
        <n v="115"/>
        <n v="17"/>
        <n v="67"/>
        <n v="19"/>
        <n v="87"/>
        <n v="24"/>
        <n v="65"/>
        <n v="63"/>
        <n v="57"/>
        <n v="80"/>
        <n v="69"/>
        <n v="73"/>
        <n v="78"/>
        <n v="176"/>
        <n v="175"/>
        <n v="22"/>
        <n v="50"/>
        <n v="108"/>
        <n v="72"/>
        <n v="79"/>
        <n v="71"/>
        <n v="8"/>
        <n v="89"/>
        <n v="109"/>
        <n v="91"/>
        <n v="97"/>
        <n v="206"/>
        <n v="74"/>
        <n v="94"/>
        <n v="132"/>
        <n v="66"/>
        <n v="238"/>
        <n v="196"/>
        <n v="42"/>
        <n v="93"/>
        <n v="146"/>
        <n v="139"/>
        <n v="56"/>
        <n v="84"/>
        <n v="46"/>
        <n v="37"/>
        <n v="118"/>
        <n v="173"/>
        <n v="151"/>
        <n v="112"/>
        <n v="128"/>
        <n v="70"/>
        <n v="49"/>
        <n v="39"/>
        <n v="130"/>
        <n v="54"/>
        <n v="77"/>
        <n v="64"/>
        <n v="2027" u="1"/>
      </sharedItems>
    </cacheField>
    <cacheField name="Grouped-age" numFmtId="0">
      <sharedItems count="3">
        <s v="Big_age_company"/>
        <s v="average_age_company"/>
        <s v="little_age_company"/>
      </sharedItems>
    </cacheField>
  </cacheFields>
  <extLst>
    <ext xmlns:x14="http://schemas.microsoft.com/office/spreadsheetml/2009/9/main" uri="{725AE2AE-9491-48be-B2B4-4EB974FC3084}">
      <x14:pivotCacheDefinition pivotCacheId="449892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2">
  <r>
    <s v="Sr Data Scientist"/>
    <s v="137-171"/>
    <n v="3.1"/>
    <s v="Healthfirst"/>
    <s v="New York, NY"/>
    <s v="New York,NY"/>
    <x v="0"/>
    <n v="1993"/>
    <s v="Nonprofit Organization"/>
    <s v="Insurance Carriers"/>
    <x v="0"/>
    <s v="Unknown / Non-Applicable"/>
    <s v="EmblemHealth, UnitedHealth Group, Aetna"/>
    <n v="137"/>
    <n v="171"/>
    <n v="154"/>
    <x v="0"/>
    <x v="0"/>
  </r>
  <r>
    <s v="Data Scientist"/>
    <s v="137-171"/>
    <n v="4.2"/>
    <s v="Mantech"/>
    <s v="Chantilly, VA"/>
    <s v="Herndon,VA"/>
    <x v="1"/>
    <n v="1968"/>
    <s v="Company - Public"/>
    <s v="Research &amp; Development"/>
    <x v="1"/>
    <s v="$1 to $2 billion (USD)"/>
    <n v="-1"/>
    <n v="137"/>
    <n v="171"/>
    <n v="154"/>
    <x v="1"/>
    <x v="0"/>
  </r>
  <r>
    <s v="Data Scientist"/>
    <s v="137-171"/>
    <n v="3.8"/>
    <s v="Analysis Group"/>
    <s v="Boston, MA"/>
    <s v="Boston,MA"/>
    <x v="0"/>
    <n v="1981"/>
    <s v="Private Practice / Firm"/>
    <s v="Consulting"/>
    <x v="1"/>
    <s v="$100 to $500 million (USD)"/>
    <n v="-1"/>
    <n v="137"/>
    <n v="171"/>
    <n v="154"/>
    <x v="2"/>
    <x v="0"/>
  </r>
  <r>
    <s v="Data Scientist"/>
    <s v="137-171"/>
    <n v="3.5"/>
    <s v="Inficon"/>
    <s v="Newton, MA"/>
    <s v="Bad Ragaz,Switzerland"/>
    <x v="2"/>
    <n v="2000"/>
    <s v="Company - Public"/>
    <s v="Electrical &amp; Electronic Manufacturing"/>
    <x v="2"/>
    <s v="$100 to $500 million (USD)"/>
    <s v="MKS Instruments, Pfeiffer Vacuum, Agilent Technologies"/>
    <n v="137"/>
    <n v="171"/>
    <n v="154"/>
    <x v="3"/>
    <x v="0"/>
  </r>
  <r>
    <s v="Data Scientist"/>
    <s v="137-171"/>
    <n v="2.9"/>
    <s v="Affinity Solutions"/>
    <s v="New York, NY"/>
    <s v="New York,NY"/>
    <x v="3"/>
    <n v="1998"/>
    <s v="Company - Private"/>
    <s v="Advertising &amp; Marketing"/>
    <x v="1"/>
    <s v="Unknown / Non-Applicable"/>
    <s v="Commerce Signals, Cardlytics, Yodlee"/>
    <n v="137"/>
    <n v="171"/>
    <n v="154"/>
    <x v="4"/>
    <x v="0"/>
  </r>
  <r>
    <s v="Data Scientist"/>
    <s v="137-171"/>
    <n v="4.2"/>
    <s v="Hg Insights"/>
    <s v="Santa Barbara, CA"/>
    <s v="Santa Barbara,CA"/>
    <x v="3"/>
    <n v="2010"/>
    <s v="Company - Private"/>
    <s v="Computer Hardware &amp; Software"/>
    <x v="3"/>
    <s v="Unknown / Non-Applicable"/>
    <n v="-1"/>
    <n v="137"/>
    <n v="171"/>
    <n v="154"/>
    <x v="5"/>
    <x v="1"/>
  </r>
  <r>
    <s v="Data Scientist / Machine Learning Expert"/>
    <s v="137-171"/>
    <n v="3.9"/>
    <s v="Novartis"/>
    <s v="Cambridge, MA"/>
    <s v="Basel,Switzerland"/>
    <x v="4"/>
    <n v="1996"/>
    <s v="Company - Public"/>
    <s v="Biotech &amp; Pharmaceuticals"/>
    <x v="4"/>
    <s v="$10+ billion (USD)"/>
    <n v="-1"/>
    <n v="137"/>
    <n v="171"/>
    <n v="154"/>
    <x v="6"/>
    <x v="0"/>
  </r>
  <r>
    <s v="Data Scientist"/>
    <s v="137-171"/>
    <n v="3.5"/>
    <s v="Irobot"/>
    <s v="Bedford, MA"/>
    <s v="Bedford,MA"/>
    <x v="0"/>
    <n v="1990"/>
    <s v="Company - Public"/>
    <s v="Consumer Electronics &amp; Appliances Stores"/>
    <x v="5"/>
    <s v="$1 to $2 billion (USD)"/>
    <n v="-1"/>
    <n v="137"/>
    <n v="171"/>
    <n v="154"/>
    <x v="7"/>
    <x v="0"/>
  </r>
  <r>
    <s v="Staff Data Scientist - Analytics"/>
    <s v="137-171"/>
    <n v="4.4000000000000004"/>
    <s v="Intuit - Data"/>
    <s v="San Diego, CA"/>
    <s v="Mountain View,CA"/>
    <x v="1"/>
    <n v="1983"/>
    <s v="Company - Public"/>
    <s v="Computer Hardware &amp; Software"/>
    <x v="3"/>
    <s v="$2 to $5 billion (USD)"/>
    <s v="Square, PayPal, H&amp;R Block"/>
    <n v="137"/>
    <n v="171"/>
    <n v="154"/>
    <x v="8"/>
    <x v="0"/>
  </r>
  <r>
    <s v="Data Scientist"/>
    <s v="137-171"/>
    <n v="3.6"/>
    <s v="Xsell Technologies"/>
    <s v="Chicago, IL"/>
    <s v="Chicago,IL"/>
    <x v="3"/>
    <n v="2014"/>
    <s v="Company - Private"/>
    <s v="Enterprise Software &amp; Network Solutions"/>
    <x v="3"/>
    <s v="Unknown / Non-Applicable"/>
    <n v="-1"/>
    <n v="137"/>
    <n v="171"/>
    <n v="154"/>
    <x v="9"/>
    <x v="1"/>
  </r>
  <r>
    <s v="Data Scientist"/>
    <s v="137-171"/>
    <n v="4.5"/>
    <s v="Novetta"/>
    <s v="Herndon, VA"/>
    <s v="Mc Lean,VA"/>
    <x v="2"/>
    <n v="2012"/>
    <s v="Company - Private"/>
    <s v="Enterprise Software &amp; Network Solutions"/>
    <x v="3"/>
    <s v="$100 to $500 million (USD)"/>
    <s v="Leidos, CACI International, Booz Allen Hamilton"/>
    <n v="137"/>
    <n v="171"/>
    <n v="154"/>
    <x v="10"/>
    <x v="1"/>
  </r>
  <r>
    <s v="Data Scientist"/>
    <s v="137-171"/>
    <n v="4.7"/>
    <s v="1904Labs"/>
    <s v="Saint Louis, MO"/>
    <s v="Saint Louis,MO"/>
    <x v="3"/>
    <n v="2016"/>
    <s v="Company - Private"/>
    <s v="IT Services"/>
    <x v="3"/>
    <s v="Unknown / Non-Applicable"/>
    <s v="Slalom, Daugherty Business Solutions"/>
    <n v="137"/>
    <n v="171"/>
    <n v="154"/>
    <x v="11"/>
    <x v="1"/>
  </r>
  <r>
    <s v="Data Scientist - Statistics, Early Career"/>
    <s v="137-171"/>
    <n v="3.7"/>
    <s v="Pnnl"/>
    <s v="Richland, WA"/>
    <s v="Richland,WA"/>
    <x v="0"/>
    <n v="1965"/>
    <s v="Government"/>
    <s v="Energy"/>
    <x v="6"/>
    <s v="$500 million to $1 billion (USD)"/>
    <s v="Oak Ridge National Laboratory, National Renewable Energy Lab, Los Alamos National Laboratory"/>
    <n v="137"/>
    <n v="171"/>
    <n v="154"/>
    <x v="12"/>
    <x v="0"/>
  </r>
  <r>
    <s v="Data Modeler"/>
    <s v="137-171"/>
    <n v="3.1"/>
    <s v="Old World Industries"/>
    <s v="Northbrook, IL"/>
    <s v="Northbrook,IL"/>
    <x v="5"/>
    <n v="1973"/>
    <s v="Company - Private"/>
    <s v="Chemical Manufacturing"/>
    <x v="2"/>
    <s v="$1 to $2 billion (USD)"/>
    <n v="-1"/>
    <n v="137"/>
    <n v="171"/>
    <n v="154"/>
    <x v="13"/>
    <x v="0"/>
  </r>
  <r>
    <s v="Data Scientist"/>
    <s v="137-171"/>
    <n v="3.4"/>
    <s v="Mathematica Policy Research"/>
    <s v="Washington, DC"/>
    <s v="Princeton,NJ"/>
    <x v="0"/>
    <n v="1986"/>
    <s v="Company - Private"/>
    <s v="Consulting"/>
    <x v="1"/>
    <s v="$100 to $500 million (USD)"/>
    <n v="-1"/>
    <n v="137"/>
    <n v="171"/>
    <n v="154"/>
    <x v="14"/>
    <x v="0"/>
  </r>
  <r>
    <s v="Experienced Data Scientist"/>
    <s v="137-171"/>
    <n v="4.4000000000000004"/>
    <s v="Guzman &amp; Griffin Technologies (Ggti"/>
    <s v="Washington, DC"/>
    <s v="Mays Landing,NJ"/>
    <x v="6"/>
    <n v="1997"/>
    <s v="Company - Private"/>
    <s v="Federal Agencies"/>
    <x v="7"/>
    <s v="Unknown / Non-Applicable"/>
    <n v="-1"/>
    <n v="137"/>
    <n v="171"/>
    <n v="154"/>
    <x v="15"/>
    <x v="0"/>
  </r>
  <r>
    <s v="Data Scientist - Contract"/>
    <s v="137-171"/>
    <n v="4.0999999999999996"/>
    <s v="Upside Business Travel"/>
    <s v="Remote"/>
    <s v="Washington,DC"/>
    <x v="3"/>
    <n v="2015"/>
    <s v="Company - Private"/>
    <s v="Internet"/>
    <x v="3"/>
    <s v="Unknown / Non-Applicable"/>
    <n v="-1"/>
    <n v="137"/>
    <n v="171"/>
    <n v="154"/>
    <x v="16"/>
    <x v="1"/>
  </r>
  <r>
    <s v="Data Scientist"/>
    <s v="137-171"/>
    <n v="3.5"/>
    <s v="Buckman"/>
    <s v="Memphis, TN"/>
    <s v="Memphis,TN"/>
    <x v="0"/>
    <n v="1945"/>
    <s v="Company - Private"/>
    <s v="Chemical Manufacturing"/>
    <x v="2"/>
    <s v="$500 million to $1 billion (USD)"/>
    <n v="-1"/>
    <n v="137"/>
    <n v="171"/>
    <n v="154"/>
    <x v="17"/>
    <x v="0"/>
  </r>
  <r>
    <s v="Data Analyst Ii"/>
    <s v="137-171"/>
    <n v="4.2"/>
    <s v="Insight Enterprises, Inc"/>
    <s v="Plano, TX"/>
    <s v="Tempe,AZ"/>
    <x v="1"/>
    <n v="1988"/>
    <s v="Company - Public"/>
    <s v="Enterprise Software &amp; Network Solutions"/>
    <x v="3"/>
    <s v="$5 to $10 billion (USD)"/>
    <s v="CDW, PCM, SHI International"/>
    <n v="137"/>
    <n v="171"/>
    <n v="154"/>
    <x v="18"/>
    <x v="0"/>
  </r>
  <r>
    <s v="Medical Lab Scientist"/>
    <s v="137-171"/>
    <n v="3.5"/>
    <s v="Tower Health"/>
    <s v="West Grove, PA"/>
    <s v="Reading,PA"/>
    <x v="1"/>
    <n v="2017"/>
    <s v="Nonprofit Organization"/>
    <s v="Health Care Services &amp; Hospitals"/>
    <x v="8"/>
    <s v="Unknown / Non-Applicable"/>
    <n v="-1"/>
    <n v="137"/>
    <n v="171"/>
    <n v="154"/>
    <x v="19"/>
    <x v="2"/>
  </r>
  <r>
    <s v="Data Scientist"/>
    <s v="137-171"/>
    <n v="3.2"/>
    <s v="Triplebyte"/>
    <s v="New York, NY"/>
    <s v="San Francisco,CA"/>
    <x v="3"/>
    <n v="2015"/>
    <s v="Company - Private"/>
    <s v="Computer Hardware &amp; Software"/>
    <x v="3"/>
    <s v="Unknown / Non-Applicable"/>
    <n v="-1"/>
    <n v="137"/>
    <n v="171"/>
    <n v="154"/>
    <x v="16"/>
    <x v="1"/>
  </r>
  <r>
    <s v="Data Scientist/Machine Learning"/>
    <s v="137-171"/>
    <n v="4.3"/>
    <s v="Pulsepoint"/>
    <s v="New York, NY"/>
    <s v="New York,NY"/>
    <x v="3"/>
    <n v="2011"/>
    <s v="Company - Private"/>
    <s v="Internet"/>
    <x v="3"/>
    <s v="$100 to $500 million (USD)"/>
    <s v="Crossix Solutions Inc., AppNexus, The Trade Desk"/>
    <n v="137"/>
    <n v="171"/>
    <n v="154"/>
    <x v="20"/>
    <x v="1"/>
  </r>
  <r>
    <s v="Human Factors Scientist"/>
    <s v="137-171"/>
    <n v="3.5"/>
    <s v="Exponent"/>
    <s v="Phoenix, AZ"/>
    <s v="Menlo Park,CA"/>
    <x v="0"/>
    <n v="1967"/>
    <s v="Company - Public"/>
    <s v="Consulting"/>
    <x v="1"/>
    <s v="$100 to $500 million (USD)"/>
    <n v="-1"/>
    <n v="137"/>
    <n v="171"/>
    <n v="154"/>
    <x v="21"/>
    <x v="0"/>
  </r>
  <r>
    <s v="Business Intelligence Analyst I- Data Insights"/>
    <s v="137-171"/>
    <n v="3.5"/>
    <s v="Guardian Life"/>
    <s v="Appleton, WI"/>
    <s v="New York,NY"/>
    <x v="1"/>
    <n v="1860"/>
    <s v="Company - Private"/>
    <s v="Insurance Carriers"/>
    <x v="0"/>
    <s v="$5 to $10 billion (USD)"/>
    <s v="Northwestern Mutual"/>
    <n v="137"/>
    <n v="171"/>
    <n v="154"/>
    <x v="22"/>
    <x v="0"/>
  </r>
  <r>
    <s v="Data Scientist"/>
    <s v="137-171"/>
    <n v="3.4"/>
    <s v="Spectrum Communications And Consulting"/>
    <s v="Chicago, IL"/>
    <s v="Chicago,IL"/>
    <x v="3"/>
    <n v="1992"/>
    <s v="Company - Private"/>
    <s v="Advertising &amp; Marketing"/>
    <x v="1"/>
    <s v="$10 to $25 million (USD)"/>
    <n v="-1"/>
    <n v="137"/>
    <n v="171"/>
    <n v="154"/>
    <x v="23"/>
    <x v="0"/>
  </r>
  <r>
    <s v="Data Scientist"/>
    <s v="137-171"/>
    <n v="4.7"/>
    <s v="Oversight Systems"/>
    <s v="Atlanta, GA"/>
    <s v="Atlanta,GA"/>
    <x v="3"/>
    <n v="2003"/>
    <s v="Company - Private"/>
    <s v="Computer Hardware &amp; Software"/>
    <x v="3"/>
    <s v="$25 to $50 million (USD)"/>
    <n v="-1"/>
    <n v="137"/>
    <n v="171"/>
    <n v="154"/>
    <x v="24"/>
    <x v="0"/>
  </r>
  <r>
    <s v="Data Scientist - Risk"/>
    <s v="137-171"/>
    <n v="4.2"/>
    <s v="Lsq"/>
    <s v="Orlando, FL"/>
    <s v="Orlando,FL"/>
    <x v="3"/>
    <n v="1996"/>
    <s v="Company - Private"/>
    <s v="Investment Banking &amp; Asset Management"/>
    <x v="9"/>
    <s v="$100 to $500 million (USD)"/>
    <n v="-1"/>
    <n v="137"/>
    <n v="171"/>
    <n v="154"/>
    <x v="6"/>
    <x v="0"/>
  </r>
  <r>
    <s v="Data Scientist-Human Resources"/>
    <s v="137-171"/>
    <n v="3.8"/>
    <s v="Mit Lincoln Laboratory"/>
    <s v="Lexington, MA"/>
    <s v="Lexington,MA"/>
    <x v="0"/>
    <n v="1951"/>
    <s v="Nonprofit Organization"/>
    <s v="Aerospace &amp; Defense"/>
    <x v="10"/>
    <s v="Unknown / Non-Applicable"/>
    <n v="-1"/>
    <n v="137"/>
    <n v="171"/>
    <n v="154"/>
    <x v="25"/>
    <x v="0"/>
  </r>
  <r>
    <s v="Data Scientist"/>
    <s v="137-171"/>
    <n v="4.5"/>
    <s v="Kingfisher Systems"/>
    <s v="McLean, VA"/>
    <s v="Falls Church,VA"/>
    <x v="3"/>
    <n v="2005"/>
    <s v="Company - Private"/>
    <s v="Federal Agencies"/>
    <x v="7"/>
    <s v="$25 to $50 million (USD)"/>
    <n v="-1"/>
    <n v="137"/>
    <n v="171"/>
    <n v="154"/>
    <x v="26"/>
    <x v="0"/>
  </r>
  <r>
    <s v="Data Scientist"/>
    <s v="137-171"/>
    <n v="2.8"/>
    <s v="Formation"/>
    <s v="San Francisco, CA"/>
    <s v="San Francisco,CA"/>
    <x v="3"/>
    <n v="2015"/>
    <s v="Company - Private"/>
    <s v="Enterprise Software &amp; Network Solutions"/>
    <x v="3"/>
    <s v="Unknown / Non-Applicable"/>
    <n v="-1"/>
    <n v="137"/>
    <n v="171"/>
    <n v="154"/>
    <x v="16"/>
    <x v="1"/>
  </r>
  <r>
    <s v="Data Scientist"/>
    <s v="75-131"/>
    <n v="3.8"/>
    <s v="Analysis Group"/>
    <s v="Boston, MA"/>
    <s v="Boston,MA"/>
    <x v="0"/>
    <n v="1981"/>
    <s v="Private Practice / Firm"/>
    <s v="Consulting"/>
    <x v="1"/>
    <s v="$100 to $500 million (USD)"/>
    <n v="-1"/>
    <n v="75"/>
    <n v="131"/>
    <n v="103"/>
    <x v="2"/>
    <x v="0"/>
  </r>
  <r>
    <s v="Data Scientist / Machine Learning Expert"/>
    <s v="75-131"/>
    <n v="3.9"/>
    <s v="Novartis"/>
    <s v="Cambridge, MA"/>
    <s v="Basel,Switzerland"/>
    <x v="4"/>
    <n v="1996"/>
    <s v="Company - Public"/>
    <s v="Biotech &amp; Pharmaceuticals"/>
    <x v="4"/>
    <s v="$10+ billion (USD)"/>
    <n v="-1"/>
    <n v="75"/>
    <n v="131"/>
    <n v="103"/>
    <x v="6"/>
    <x v="0"/>
  </r>
  <r>
    <s v="Data Scientist"/>
    <s v="75-131"/>
    <n v="5"/>
    <s v="Cohere Health"/>
    <s v="Boston, MA"/>
    <s v="Boston,MA"/>
    <x v="6"/>
    <n v="2019"/>
    <s v="Company - Private"/>
    <s v="IT Services"/>
    <x v="3"/>
    <s v="Unknown / Non-Applicable"/>
    <n v="-1"/>
    <n v="75"/>
    <n v="131"/>
    <n v="103"/>
    <x v="27"/>
    <x v="2"/>
  </r>
  <r>
    <s v="Senior Research Statistician- Data Scientist"/>
    <s v="75-131"/>
    <n v="4.8"/>
    <s v="Acuity Insurance"/>
    <s v="Sheboygan, WI"/>
    <s v="Sheboygan,WI"/>
    <x v="0"/>
    <n v="1925"/>
    <s v="Company - Private"/>
    <s v="Insurance Carriers"/>
    <x v="0"/>
    <s v="$1 to $2 billion (USD)"/>
    <n v="-1"/>
    <n v="75"/>
    <n v="131"/>
    <n v="103"/>
    <x v="28"/>
    <x v="0"/>
  </r>
  <r>
    <s v="Data Engineer"/>
    <s v="75-131"/>
    <n v="3.6"/>
    <s v="Chef"/>
    <s v="United States"/>
    <s v="Seattle,WA"/>
    <x v="5"/>
    <n v="2008"/>
    <s v="Company - Private"/>
    <s v="Enterprise Software &amp; Network Solutions"/>
    <x v="3"/>
    <s v="$50 to $100 million (USD)"/>
    <s v="Puppet, Ansible, SaltStack"/>
    <n v="75"/>
    <n v="131"/>
    <n v="103"/>
    <x v="29"/>
    <x v="1"/>
  </r>
  <r>
    <s v="Associate Data Scientist"/>
    <s v="75-131"/>
    <n v="3.3"/>
    <s v="Puget Sound Energy"/>
    <s v="Bothell, WA"/>
    <s v="Bellevue,WA"/>
    <x v="0"/>
    <n v="1999"/>
    <s v="Company - Private"/>
    <s v="Utilities"/>
    <x v="6"/>
    <s v="$2 to $5 billion (USD)"/>
    <n v="-1"/>
    <n v="75"/>
    <n v="131"/>
    <n v="103"/>
    <x v="30"/>
    <x v="0"/>
  </r>
  <r>
    <s v="Business Intelligence Analyst"/>
    <s v="75-131"/>
    <n v="2.7"/>
    <s v="Sandhills Global"/>
    <s v="Lincoln, NE"/>
    <s v="Lincoln,NE"/>
    <x v="0"/>
    <n v="1978"/>
    <s v="Company - Private"/>
    <s v="Enterprise Software &amp; Network Solutions"/>
    <x v="3"/>
    <s v="$50 to $100 million (USD)"/>
    <n v="-1"/>
    <n v="75"/>
    <n v="131"/>
    <n v="103"/>
    <x v="31"/>
    <x v="0"/>
  </r>
  <r>
    <s v="Data Scientist"/>
    <s v="75-131"/>
    <n v="2.7"/>
    <s v="A Place For Mom"/>
    <s v="Overland Park, KS"/>
    <s v="New York,NY"/>
    <x v="2"/>
    <n v="2000"/>
    <s v="Company - Private"/>
    <s v="Health Care Services &amp; Hospitals"/>
    <x v="8"/>
    <s v="Unknown / Non-Applicable"/>
    <s v="Enlivant, Sunrise Senior Living, Brookdale Senior Living"/>
    <n v="75"/>
    <n v="131"/>
    <n v="103"/>
    <x v="3"/>
    <x v="0"/>
  </r>
  <r>
    <s v="Data Scientist"/>
    <s v="75-131"/>
    <n v="2.2000000000000002"/>
    <s v="Great-Circle Technologies"/>
    <s v="Chantilly, VA"/>
    <s v="Chantilly,VA"/>
    <x v="6"/>
    <n v="2000"/>
    <s v="Company - Private"/>
    <s v="Enterprise Software &amp; Network Solutions"/>
    <x v="3"/>
    <s v="$1 to $5 million (USD)"/>
    <n v="-1"/>
    <n v="75"/>
    <n v="131"/>
    <n v="103"/>
    <x v="3"/>
    <x v="0"/>
  </r>
  <r>
    <s v="Senior Analyst/Data Scientist"/>
    <s v="75-131"/>
    <n v="3.4"/>
    <s v="Edmunds.Com"/>
    <s v="Santa Monica, CA"/>
    <s v="Santa Monica,CA"/>
    <x v="2"/>
    <n v="1966"/>
    <s v="Company - Private"/>
    <s v="Internet"/>
    <x v="3"/>
    <s v="$100 to $500 million (USD)"/>
    <s v="TrueCar, Cars.com, Kelley Blue Book"/>
    <n v="75"/>
    <n v="131"/>
    <n v="103"/>
    <x v="32"/>
    <x v="0"/>
  </r>
  <r>
    <s v="Data Analyst"/>
    <s v="75-131"/>
    <n v="3.1"/>
    <s v="Cambridge Associates, Llc"/>
    <s v="Boston, MA"/>
    <s v="Boston,MA"/>
    <x v="2"/>
    <n v="1973"/>
    <s v="Company - Private"/>
    <s v="Investment Banking &amp; Asset Management"/>
    <x v="9"/>
    <s v="$100 to $500 million (USD)"/>
    <n v="-1"/>
    <n v="75"/>
    <n v="131"/>
    <n v="103"/>
    <x v="13"/>
    <x v="0"/>
  </r>
  <r>
    <s v="Machine Learning Engineer"/>
    <s v="75-131"/>
    <n v="3.4"/>
    <s v="Liberty Mutual Insurance"/>
    <s v="Portsmouth, NH"/>
    <s v="Boston,MA"/>
    <x v="4"/>
    <n v="1912"/>
    <s v="Company - Private"/>
    <s v="Insurance Carriers"/>
    <x v="0"/>
    <s v="$10+ billion (USD)"/>
    <s v="Travelers, Allstate, State Farm"/>
    <n v="75"/>
    <n v="131"/>
    <n v="103"/>
    <x v="33"/>
    <x v="0"/>
  </r>
  <r>
    <s v="Data Analyst I"/>
    <s v="75-131"/>
    <n v="2.6"/>
    <s v="Cenlar"/>
    <s v="Ewing, NJ"/>
    <s v="Ewing,NJ"/>
    <x v="0"/>
    <n v="1958"/>
    <s v="Company - Private"/>
    <s v="-1"/>
    <x v="11"/>
    <s v="$100 to $500 million (USD)"/>
    <n v="-1"/>
    <n v="75"/>
    <n v="131"/>
    <n v="103"/>
    <x v="34"/>
    <x v="0"/>
  </r>
  <r>
    <s v="Scientist - Molecular Biology"/>
    <s v="75-131"/>
    <n v="5"/>
    <s v="Arsenal Biosciences"/>
    <s v="South San Francisco, CA"/>
    <s v="South San Francisco,CA"/>
    <x v="3"/>
    <n v="2019"/>
    <s v="Company - Private"/>
    <s v="Biotech &amp; Pharmaceuticals"/>
    <x v="4"/>
    <s v="Unknown / Non-Applicable"/>
    <n v="-1"/>
    <n v="75"/>
    <n v="131"/>
    <n v="103"/>
    <x v="27"/>
    <x v="2"/>
  </r>
  <r>
    <s v="Data Scientist"/>
    <s v="75-131"/>
    <n v="4.2"/>
    <s v="Eversight"/>
    <s v="Palo Alto, CA"/>
    <s v="Palo Alto,CA"/>
    <x v="3"/>
    <n v="2013"/>
    <s v="Company - Private"/>
    <s v="Enterprise Software &amp; Network Solutions"/>
    <x v="3"/>
    <s v="$10 to $25 million (USD)"/>
    <n v="-1"/>
    <n v="75"/>
    <n v="131"/>
    <n v="103"/>
    <x v="35"/>
    <x v="1"/>
  </r>
  <r>
    <s v="Computational Scientist, Machine Learning"/>
    <s v="75-131"/>
    <n v="4.0999999999999996"/>
    <s v="Pfizer"/>
    <s v="Cambridge, MA"/>
    <s v="New York,NY"/>
    <x v="4"/>
    <n v="1849"/>
    <s v="Company - Public"/>
    <s v="Biotech &amp; Pharmaceuticals"/>
    <x v="4"/>
    <s v="$10+ billion (USD)"/>
    <n v="-1"/>
    <n v="75"/>
    <n v="131"/>
    <n v="103"/>
    <x v="36"/>
    <x v="0"/>
  </r>
  <r>
    <s v="Senior Data Scientist"/>
    <s v="75-131"/>
    <n v="4.8"/>
    <s v="Klaviyo"/>
    <s v="Boston, MA"/>
    <s v="Boston,MA"/>
    <x v="5"/>
    <n v="2012"/>
    <s v="Company - Private"/>
    <s v="Computer Hardware &amp; Software"/>
    <x v="3"/>
    <s v="Unknown / Non-Applicable"/>
    <n v="-1"/>
    <n v="75"/>
    <n v="131"/>
    <n v="103"/>
    <x v="10"/>
    <x v="1"/>
  </r>
  <r>
    <s v="Data Scientist"/>
    <s v="75-131"/>
    <n v="3.3"/>
    <s v="Intellectual Ventures"/>
    <s v="Bellevue, WA"/>
    <s v="Bellevue,WA"/>
    <x v="2"/>
    <n v="2000"/>
    <s v="Company - Private"/>
    <s v="Investment Banking &amp; Asset Management"/>
    <x v="9"/>
    <s v="Unknown / Non-Applicable"/>
    <n v="-1"/>
    <n v="75"/>
    <n v="131"/>
    <n v="103"/>
    <x v="3"/>
    <x v="0"/>
  </r>
  <r>
    <s v="Data Scientist"/>
    <s v="75-131"/>
    <n v="3.7"/>
    <s v="Govtech"/>
    <s v="San Francisco, CA"/>
    <s v="Singapore,Singapore"/>
    <x v="0"/>
    <n v="2016"/>
    <s v="Government"/>
    <s v="Federal Agencies"/>
    <x v="7"/>
    <s v="Unknown / Non-Applicable"/>
    <n v="-1"/>
    <n v="75"/>
    <n v="131"/>
    <n v="103"/>
    <x v="11"/>
    <x v="1"/>
  </r>
  <r>
    <s v="Data Scientist"/>
    <s v="75-131"/>
    <n v="4.3"/>
    <s v="Quick Base"/>
    <s v="Cambridge, MA"/>
    <s v="Cambridge,MA"/>
    <x v="5"/>
    <n v="1999"/>
    <s v="Company - Private"/>
    <s v="Enterprise Software &amp; Network Solutions"/>
    <x v="3"/>
    <s v="Unknown / Non-Applicable"/>
    <n v="-1"/>
    <n v="75"/>
    <n v="131"/>
    <n v="103"/>
    <x v="30"/>
    <x v="0"/>
  </r>
  <r>
    <s v="Data Analyst"/>
    <s v="75-131"/>
    <n v="4.8"/>
    <s v="Giving Assistant"/>
    <s v="San Francisco, CA"/>
    <s v="San Francisco,CA"/>
    <x v="6"/>
    <n v="2014"/>
    <s v="Company - Private"/>
    <s v="Advertising &amp; Marketing"/>
    <x v="1"/>
    <s v="$10 to $25 million (USD)"/>
    <n v="-1"/>
    <n v="75"/>
    <n v="131"/>
    <n v="103"/>
    <x v="9"/>
    <x v="1"/>
  </r>
  <r>
    <s v="Data Scientist"/>
    <s v="75-131"/>
    <n v="3.7"/>
    <s v="Takeda"/>
    <s v="Cambridge, MA"/>
    <s v="Osaka,Japan"/>
    <x v="4"/>
    <n v="1781"/>
    <s v="Company - Public"/>
    <s v="Biotech &amp; Pharmaceuticals"/>
    <x v="4"/>
    <s v="$10+ billion (USD)"/>
    <s v="Novartis, Baxter, Pfizer"/>
    <n v="75"/>
    <n v="131"/>
    <n v="103"/>
    <x v="37"/>
    <x v="0"/>
  </r>
  <r>
    <s v="Data Scientist"/>
    <s v="75-131"/>
    <n v="4"/>
    <s v="Netskope"/>
    <s v="San Francisco, CA"/>
    <s v="Santa Clara,CA"/>
    <x v="2"/>
    <n v="2012"/>
    <s v="Company - Private"/>
    <s v="Enterprise Software &amp; Network Solutions"/>
    <x v="3"/>
    <s v="Unknown / Non-Applicable"/>
    <s v="Skyhigh Networks, Zscaler, NortonLifeLock"/>
    <n v="75"/>
    <n v="131"/>
    <n v="103"/>
    <x v="10"/>
    <x v="1"/>
  </r>
  <r>
    <s v="Jr. Data Engineer"/>
    <s v="75-131"/>
    <n v="4.8"/>
    <s v="It Concepts"/>
    <s v="Remote"/>
    <s v="Vienna,VA"/>
    <x v="3"/>
    <n v="2003"/>
    <s v="Company - Private"/>
    <s v="IT Services"/>
    <x v="3"/>
    <s v="$10 to $25 million (USD)"/>
    <n v="-1"/>
    <n v="75"/>
    <n v="131"/>
    <n v="103"/>
    <x v="24"/>
    <x v="0"/>
  </r>
  <r>
    <s v="E-Commerce Data Analyst"/>
    <s v="75-131"/>
    <n v="3.5"/>
    <s v="Iseatz"/>
    <s v="New Orleans, LA"/>
    <s v="New Orleans,LA"/>
    <x v="3"/>
    <n v="1999"/>
    <s v="Company - Private"/>
    <s v="Enterprise Software &amp; Network Solutions"/>
    <x v="3"/>
    <s v="Unknown / Non-Applicable"/>
    <n v="-1"/>
    <n v="75"/>
    <n v="131"/>
    <n v="103"/>
    <x v="30"/>
    <x v="0"/>
  </r>
  <r>
    <s v="Data Analytics Engineer"/>
    <s v="75-131"/>
    <n v="3.7"/>
    <s v="Summa Health System"/>
    <s v="Akron, OH"/>
    <s v="Akron,OH"/>
    <x v="1"/>
    <n v="1926"/>
    <s v="Nonprofit Organization"/>
    <s v="Health Care Services &amp; Hospitals"/>
    <x v="8"/>
    <s v="$100 to $500 million (USD)"/>
    <n v="-1"/>
    <n v="75"/>
    <n v="131"/>
    <n v="103"/>
    <x v="38"/>
    <x v="0"/>
  </r>
  <r>
    <s v="Senior Data Scientist"/>
    <s v="75-131"/>
    <n v="3.5"/>
    <s v="Benson Hill"/>
    <s v="Saint Louis, MO"/>
    <s v="Saint Louis,MO"/>
    <x v="5"/>
    <n v="2012"/>
    <s v="Company - Private"/>
    <s v="Biotech &amp; Pharmaceuticals"/>
    <x v="4"/>
    <s v="$1 to $5 million (USD)"/>
    <n v="-1"/>
    <n v="75"/>
    <n v="131"/>
    <n v="103"/>
    <x v="10"/>
    <x v="1"/>
  </r>
  <r>
    <s v="Product Data Scientist - Ads Data Science"/>
    <s v="75-131"/>
    <n v="4.0999999999999996"/>
    <s v="Twitter"/>
    <s v="San Francisco, CA"/>
    <s v="San Francisco,CA"/>
    <x v="0"/>
    <n v="2006"/>
    <s v="Company - Public"/>
    <s v="Internet"/>
    <x v="3"/>
    <s v="$2 to $5 billion (USD)"/>
    <s v="Facebook, Google, Pinterest"/>
    <n v="75"/>
    <n v="131"/>
    <n v="103"/>
    <x v="39"/>
    <x v="1"/>
  </r>
  <r>
    <s v="Data Scientist"/>
    <s v="75-131"/>
    <n v="3.2"/>
    <s v="Postmates - Corporate Hq"/>
    <s v="San Francisco, CA"/>
    <s v="San Francisco,CA"/>
    <x v="0"/>
    <n v="2011"/>
    <s v="Company - Private"/>
    <s v="Express Delivery Services"/>
    <x v="12"/>
    <s v="Unknown / Non-Applicable"/>
    <s v="DoorDash, Uber, Grubhub"/>
    <n v="75"/>
    <n v="131"/>
    <n v="103"/>
    <x v="20"/>
    <x v="1"/>
  </r>
  <r>
    <s v="Data Scientist - Intermediate"/>
    <s v="75-131"/>
    <n v="4.5"/>
    <s v="Envision Llc"/>
    <s v="Saint Louis, MO"/>
    <s v="Saint Louis,MO"/>
    <x v="5"/>
    <n v="1994"/>
    <s v="Company - Private"/>
    <s v="Staffing &amp; Outsourcing"/>
    <x v="1"/>
    <s v="$25 to $50 million (USD)"/>
    <n v="-1"/>
    <n v="75"/>
    <n v="131"/>
    <n v="103"/>
    <x v="40"/>
    <x v="0"/>
  </r>
  <r>
    <s v="Data Analyst"/>
    <s v="75-131"/>
    <n v="3.8"/>
    <s v="Swiss Re"/>
    <s v="Fort Wayne, IN"/>
    <s v="Zurich,Switzerland"/>
    <x v="4"/>
    <n v="1863"/>
    <s v="Company - Public"/>
    <s v="Insurance Agencies &amp; Brokerages"/>
    <x v="0"/>
    <s v="$10+ billion (USD)"/>
    <s v="Munich Re, Hannover RE, SCOR"/>
    <n v="75"/>
    <n v="131"/>
    <n v="103"/>
    <x v="41"/>
    <x v="0"/>
  </r>
  <r>
    <s v="Machine Learning Engineer"/>
    <s v="75-131"/>
    <n v="4.5"/>
    <s v="Systems &amp; Technology Research"/>
    <s v="Woburn, MA"/>
    <s v="Woburn,MA"/>
    <x v="5"/>
    <n v="2010"/>
    <s v="Company - Private"/>
    <s v="Aerospace &amp; Defense"/>
    <x v="10"/>
    <s v="$100 to $500 million (USD)"/>
    <n v="-1"/>
    <n v="75"/>
    <n v="131"/>
    <n v="103"/>
    <x v="5"/>
    <x v="1"/>
  </r>
  <r>
    <s v="Data Scientist"/>
    <s v="79-131"/>
    <n v="3.5"/>
    <s v="Irobot"/>
    <s v="Bedford, MA"/>
    <s v="Bedford,MA"/>
    <x v="0"/>
    <n v="1990"/>
    <s v="Company - Public"/>
    <s v="Consumer Electronics &amp; Appliances Stores"/>
    <x v="5"/>
    <s v="$1 to $2 billion (USD)"/>
    <n v="-1"/>
    <n v="79"/>
    <n v="131"/>
    <n v="105"/>
    <x v="7"/>
    <x v="0"/>
  </r>
  <r>
    <s v="Data Scientist"/>
    <s v="79-131"/>
    <n v="4.2"/>
    <s v="Hg Insights"/>
    <s v="Santa Barbara, CA"/>
    <s v="Santa Barbara,CA"/>
    <x v="3"/>
    <n v="2010"/>
    <s v="Company - Private"/>
    <s v="Computer Hardware &amp; Software"/>
    <x v="3"/>
    <s v="Unknown / Non-Applicable"/>
    <n v="-1"/>
    <n v="79"/>
    <n v="131"/>
    <n v="105"/>
    <x v="5"/>
    <x v="1"/>
  </r>
  <r>
    <s v="Global Data Analyst"/>
    <s v="79-131"/>
    <n v="3.8"/>
    <s v="Dermalogica"/>
    <s v="Carson, CA"/>
    <s v="Carson,CA"/>
    <x v="5"/>
    <n v="1986"/>
    <s v="Subsidiary or Business Segment"/>
    <s v="Consumer Products Manufacturing"/>
    <x v="2"/>
    <s v="$100 to $500 million (USD)"/>
    <s v="IMAGE Skincare, Aveda, Kiehl's"/>
    <n v="79"/>
    <n v="131"/>
    <n v="105"/>
    <x v="14"/>
    <x v="0"/>
  </r>
  <r>
    <s v="Data Engineer"/>
    <s v="79-131"/>
    <n v="3.7"/>
    <s v="Bayview Asset Management"/>
    <s v="Coral Gables, FL"/>
    <s v="Coral Gables,FL"/>
    <x v="0"/>
    <n v="1995"/>
    <s v="Company - Private"/>
    <s v="Investment Banking &amp; Asset Management"/>
    <x v="9"/>
    <s v="$100 to $500 million (USD)"/>
    <n v="-1"/>
    <n v="79"/>
    <n v="131"/>
    <n v="105"/>
    <x v="42"/>
    <x v="0"/>
  </r>
  <r>
    <s v="Data Scientist"/>
    <s v="79-131"/>
    <n v="3.7"/>
    <s v="Via Transportation"/>
    <s v="New York, NY"/>
    <s v="New York,NY"/>
    <x v="2"/>
    <n v="2012"/>
    <s v="Company - Private"/>
    <s v="Internet"/>
    <x v="3"/>
    <s v="Unknown / Non-Applicable"/>
    <n v="-1"/>
    <n v="79"/>
    <n v="131"/>
    <n v="105"/>
    <x v="10"/>
    <x v="1"/>
  </r>
  <r>
    <s v="Data Scientist"/>
    <s v="79-131"/>
    <n v="4"/>
    <s v="Grid Dynamics"/>
    <s v="Santa Clara, CA"/>
    <s v="San Ramon,CA"/>
    <x v="0"/>
    <n v="2006"/>
    <s v="Company - Private"/>
    <s v="Enterprise Software &amp; Network Solutions"/>
    <x v="3"/>
    <s v="$50 to $100 million (USD)"/>
    <s v="Luxoft, EPAM, Capgemini Invent"/>
    <n v="79"/>
    <n v="131"/>
    <n v="105"/>
    <x v="39"/>
    <x v="1"/>
  </r>
  <r>
    <s v="Data &amp; Machine Learning Scientist"/>
    <s v="79-131"/>
    <n v="3.3"/>
    <s v="Tempus Labs"/>
    <s v="Chicago, IL"/>
    <s v="Chicago,IL"/>
    <x v="2"/>
    <n v="2015"/>
    <s v="Company - Private"/>
    <s v="Biotech &amp; Pharmaceuticals"/>
    <x v="4"/>
    <s v="Unknown / Non-Applicable"/>
    <n v="-1"/>
    <n v="79"/>
    <n v="131"/>
    <n v="105"/>
    <x v="16"/>
    <x v="1"/>
  </r>
  <r>
    <s v="Data Scientist - Machine Learning"/>
    <s v="79-131"/>
    <n v="2.5"/>
    <s v="Caredx"/>
    <s v="Brisbane, CA"/>
    <s v="Brisbane,CA"/>
    <x v="6"/>
    <n v="-1"/>
    <s v="Company - Private"/>
    <s v="Biotech &amp; Pharmaceuticals"/>
    <x v="4"/>
    <s v="Unknown / Non-Applicable"/>
    <s v="Sequenom"/>
    <n v="79"/>
    <n v="131"/>
    <n v="105"/>
    <x v="43"/>
    <x v="2"/>
  </r>
  <r>
    <s v="Data Engineer (Remote)"/>
    <s v="79-131"/>
    <n v="4.2"/>
    <s v="Izea"/>
    <s v="Winter Park, FL"/>
    <s v="Winter Park,FL"/>
    <x v="3"/>
    <n v="2006"/>
    <s v="Company - Public"/>
    <s v="Advertising &amp; Marketing"/>
    <x v="1"/>
    <s v="$25 to $50 million (USD)"/>
    <s v="Linqia, Collective Bias"/>
    <n v="79"/>
    <n v="131"/>
    <n v="105"/>
    <x v="39"/>
    <x v="1"/>
  </r>
  <r>
    <s v="Data Scientist, Applied Machine Learning - Bay Area"/>
    <s v="79-131"/>
    <n v="3.3"/>
    <s v="Tempus Labs"/>
    <s v="Redwood City, CA"/>
    <s v="Chicago,IL"/>
    <x v="2"/>
    <n v="2015"/>
    <s v="Company - Private"/>
    <s v="Biotech &amp; Pharmaceuticals"/>
    <x v="4"/>
    <s v="Unknown / Non-Applicable"/>
    <n v="-1"/>
    <n v="79"/>
    <n v="131"/>
    <n v="105"/>
    <x v="16"/>
    <x v="1"/>
  </r>
  <r>
    <s v="Principal Data Scientist"/>
    <s v="79-131"/>
    <n v="4"/>
    <s v="Autodesk"/>
    <s v="San Francisco, CA"/>
    <s v="San Rafael,CA"/>
    <x v="1"/>
    <n v="1982"/>
    <s v="Company - Public"/>
    <s v="Computer Hardware &amp; Software"/>
    <x v="3"/>
    <s v="$2 to $5 billion (USD)"/>
    <n v="-1"/>
    <n v="79"/>
    <n v="131"/>
    <n v="105"/>
    <x v="44"/>
    <x v="0"/>
  </r>
  <r>
    <s v="Business Data Analyst"/>
    <s v="79-131"/>
    <n v="3.7"/>
    <s v="Caterpillar"/>
    <s v="Peoria, IL"/>
    <s v="Deerfield,IL"/>
    <x v="4"/>
    <n v="1925"/>
    <s v="Company - Public"/>
    <s v="Industrial Manufacturing"/>
    <x v="2"/>
    <s v="$10+ billion (USD)"/>
    <s v="John Deere, Komatsu, CNH Industrial"/>
    <n v="79"/>
    <n v="131"/>
    <n v="105"/>
    <x v="28"/>
    <x v="0"/>
  </r>
  <r>
    <s v="Purification Scientist"/>
    <s v="79-131"/>
    <n v="4.9000000000000004"/>
    <s v="New England Biolabs"/>
    <s v="Ipswich, MA"/>
    <s v="Ipswich,MA"/>
    <x v="5"/>
    <n v="1974"/>
    <s v="Company - Private"/>
    <s v="Biotech &amp; Pharmaceuticals"/>
    <x v="4"/>
    <s v="Unknown / Non-Applicable"/>
    <s v="Thermo Fisher Scientific, Enzymatics, Illumina"/>
    <n v="79"/>
    <n v="131"/>
    <n v="105"/>
    <x v="45"/>
    <x v="0"/>
  </r>
  <r>
    <s v="Data Analyst"/>
    <s v="79-131"/>
    <n v="3.4"/>
    <s v="Allied Solutions"/>
    <s v="Carmel, IN"/>
    <s v="Carmel,IN"/>
    <x v="0"/>
    <n v="2001"/>
    <s v="Subsidiary or Business Segment"/>
    <s v="Insurance Agencies &amp; Brokerages"/>
    <x v="0"/>
    <s v="$100 to $500 million (USD)"/>
    <s v="CUNA Mutual, SWBC, Overby-Seawell"/>
    <n v="79"/>
    <n v="131"/>
    <n v="105"/>
    <x v="46"/>
    <x v="0"/>
  </r>
  <r>
    <s v="Data Engineer, Enterprise Analytics"/>
    <s v="79-131"/>
    <n v="3.1"/>
    <s v="Healthfirst"/>
    <s v="New York, NY"/>
    <s v="New York,NY"/>
    <x v="0"/>
    <n v="1993"/>
    <s v="Nonprofit Organization"/>
    <s v="Insurance Carriers"/>
    <x v="0"/>
    <s v="Unknown / Non-Applicable"/>
    <s v="EmblemHealth, UnitedHealth Group, Aetna"/>
    <n v="79"/>
    <n v="131"/>
    <n v="105"/>
    <x v="0"/>
    <x v="0"/>
  </r>
  <r>
    <s v="Data Scientist"/>
    <s v="79-131"/>
    <n v="3.5"/>
    <s v="The Knot Worldwide"/>
    <s v="Washington, DC"/>
    <s v="Chevy Chase,MD"/>
    <x v="0"/>
    <n v="2019"/>
    <s v="Company - Private"/>
    <s v="Internet"/>
    <x v="3"/>
    <s v="Unknown / Non-Applicable"/>
    <s v="Zola Registry"/>
    <n v="79"/>
    <n v="131"/>
    <n v="105"/>
    <x v="27"/>
    <x v="2"/>
  </r>
  <r>
    <s v="Data Scientist"/>
    <s v="79-131"/>
    <n v="2.9"/>
    <s v="Ifg Companies"/>
    <s v="New York, NY"/>
    <s v="Hartford,CT"/>
    <x v="5"/>
    <n v="1985"/>
    <s v="Company - Private"/>
    <s v="Insurance Carriers"/>
    <x v="0"/>
    <s v="Unknown / Non-Applicable"/>
    <s v="Colony Specialty, Markel, RLI"/>
    <n v="79"/>
    <n v="131"/>
    <n v="105"/>
    <x v="47"/>
    <x v="0"/>
  </r>
  <r>
    <s v="Data Scientist 3 (718)"/>
    <s v="79-131"/>
    <n v="3.3"/>
    <s v="Amyris"/>
    <s v="Emeryville, CA"/>
    <s v="Emeryville,CA"/>
    <x v="5"/>
    <n v="2003"/>
    <s v="Company - Public"/>
    <s v="Biotech &amp; Pharmaceuticals"/>
    <x v="4"/>
    <s v="$100 to $500 million (USD)"/>
    <n v="-1"/>
    <n v="79"/>
    <n v="131"/>
    <n v="105"/>
    <x v="24"/>
    <x v="0"/>
  </r>
  <r>
    <s v="Real World Science, Data Scientist"/>
    <s v="79-131"/>
    <n v="4"/>
    <s v="Astrazeneca"/>
    <s v="Gaithersburg, MD"/>
    <s v="Cambridge,United Kingdom"/>
    <x v="4"/>
    <n v="1913"/>
    <s v="Company - Public"/>
    <s v="Biotech &amp; Pharmaceuticals"/>
    <x v="4"/>
    <s v="$10+ billion (USD)"/>
    <s v="Roche, GlaxoSmithKline, Novartis"/>
    <n v="79"/>
    <n v="131"/>
    <n v="105"/>
    <x v="48"/>
    <x v="0"/>
  </r>
  <r>
    <s v="Data Scientist"/>
    <s v="79-131"/>
    <n v="3.6"/>
    <s v="Powertek"/>
    <s v="Washington, DC"/>
    <s v="Rockville,MD"/>
    <x v="3"/>
    <n v="2001"/>
    <s v="Company - Private"/>
    <s v="IT Services"/>
    <x v="3"/>
    <s v="$25 to $50 million (USD)"/>
    <n v="-1"/>
    <n v="79"/>
    <n v="131"/>
    <n v="105"/>
    <x v="46"/>
    <x v="0"/>
  </r>
  <r>
    <s v="Data Engineer"/>
    <s v="79-131"/>
    <n v="4.7"/>
    <s v="Object Partners"/>
    <s v="Saint Louis, MO"/>
    <s v="Minneapolis,MN"/>
    <x v="3"/>
    <n v="1996"/>
    <s v="Company - Private"/>
    <s v="Consulting"/>
    <x v="1"/>
    <s v="$25 to $50 million (USD)"/>
    <s v="Solution Design Group, Intertech (Minnesota)"/>
    <n v="79"/>
    <n v="131"/>
    <n v="105"/>
    <x v="6"/>
    <x v="0"/>
  </r>
  <r>
    <s v="Data Scientist - Image And Video Analytics"/>
    <s v="79-131"/>
    <n v="4.9000000000000004"/>
    <s v="The Mom Project"/>
    <s v="Longmont, CO"/>
    <s v="Chicago,IL"/>
    <x v="6"/>
    <n v="2016"/>
    <s v="Company - Private"/>
    <s v="Staffing &amp; Outsourcing"/>
    <x v="1"/>
    <s v="Unknown / Non-Applicable"/>
    <n v="-1"/>
    <n v="79"/>
    <n v="131"/>
    <n v="105"/>
    <x v="11"/>
    <x v="1"/>
  </r>
  <r>
    <s v="Data Scientist"/>
    <s v="79-131"/>
    <n v="4.3"/>
    <s v="Lightspeed Systems"/>
    <s v="Austin, TX"/>
    <s v="Austin,TX"/>
    <x v="3"/>
    <n v="1999"/>
    <s v="Company - Private"/>
    <s v="Computer Hardware &amp; Software"/>
    <x v="3"/>
    <s v="$25 to $50 million (USD)"/>
    <n v="-1"/>
    <n v="79"/>
    <n v="131"/>
    <n v="105"/>
    <x v="30"/>
    <x v="0"/>
  </r>
  <r>
    <s v="Data Science Manager, Payment Acceptance - Usa"/>
    <s v="79-131"/>
    <n v="4"/>
    <s v="Stripe"/>
    <s v="San Francisco, CA"/>
    <s v="San Francisco,CA"/>
    <x v="0"/>
    <n v="2010"/>
    <s v="Company - Private"/>
    <s v="Internet"/>
    <x v="3"/>
    <s v="Unknown / Non-Applicable"/>
    <s v="Braintree, Authorize.Net, PayPal"/>
    <n v="79"/>
    <n v="131"/>
    <n v="105"/>
    <x v="5"/>
    <x v="1"/>
  </r>
  <r>
    <s v="Data Analyst"/>
    <s v="79-131"/>
    <n v="2.6"/>
    <s v="Comprehensive Healthcare"/>
    <s v="Yakima, WA"/>
    <s v="Yakima,WA"/>
    <x v="2"/>
    <n v="1971"/>
    <s v="Nonprofit Organization"/>
    <s v="Health Care Services &amp; Hospitals"/>
    <x v="8"/>
    <s v="Unknown / Non-Applicable"/>
    <n v="-1"/>
    <n v="79"/>
    <n v="131"/>
    <n v="105"/>
    <x v="49"/>
    <x v="0"/>
  </r>
  <r>
    <s v="Data Scientist / Applied Mathematician"/>
    <s v="79-131"/>
    <n v="4.5"/>
    <s v="Fullpower Technologies, Inc"/>
    <s v="Santa Cruz, CA"/>
    <s v="Santa Cruz,CA"/>
    <x v="3"/>
    <n v="2003"/>
    <s v="Company - Private"/>
    <s v="Computer Hardware &amp; Software"/>
    <x v="3"/>
    <s v="$10 to $25 million (USD)"/>
    <n v="-1"/>
    <n v="79"/>
    <n v="131"/>
    <n v="105"/>
    <x v="24"/>
    <x v="0"/>
  </r>
  <r>
    <s v="Machine Learning Engineer"/>
    <s v="79-131"/>
    <n v="4.8"/>
    <s v="Klaviyo"/>
    <s v="Boston, MA"/>
    <s v="Boston,MA"/>
    <x v="5"/>
    <n v="2012"/>
    <s v="Company - Private"/>
    <s v="Computer Hardware &amp; Software"/>
    <x v="3"/>
    <s v="Unknown / Non-Applicable"/>
    <n v="-1"/>
    <n v="79"/>
    <n v="131"/>
    <n v="105"/>
    <x v="10"/>
    <x v="1"/>
  </r>
  <r>
    <s v="Data Scientist"/>
    <s v="79-131"/>
    <n v="3.9"/>
    <s v="Mars"/>
    <s v="United States"/>
    <s v="Mc Lean,VA"/>
    <x v="4"/>
    <n v="1911"/>
    <s v="Company - Private"/>
    <s v="Food &amp; Beverage Manufacturing"/>
    <x v="2"/>
    <s v="$10+ billion (USD)"/>
    <n v="-1"/>
    <n v="79"/>
    <n v="131"/>
    <n v="105"/>
    <x v="50"/>
    <x v="0"/>
  </r>
  <r>
    <s v="Patient Safety- Associate Data Scientist"/>
    <s v="79-131"/>
    <n v="4"/>
    <s v="Astrazeneca"/>
    <s v="Gaithersburg, MD"/>
    <s v="Cambridge,United Kingdom"/>
    <x v="4"/>
    <n v="1913"/>
    <s v="Company - Public"/>
    <s v="Biotech &amp; Pharmaceuticals"/>
    <x v="4"/>
    <s v="$10+ billion (USD)"/>
    <s v="Roche, GlaxoSmithKline, Novartis"/>
    <n v="79"/>
    <n v="131"/>
    <n v="105"/>
    <x v="48"/>
    <x v="0"/>
  </r>
  <r>
    <s v="Machine Learning Engineer"/>
    <s v="79-131"/>
    <n v="4.4000000000000004"/>
    <s v="Nuwave Solutions"/>
    <s v="Springfield, VA"/>
    <s v="Mc Lean,VA"/>
    <x v="3"/>
    <n v="1999"/>
    <s v="Company - Private"/>
    <s v="IT Services"/>
    <x v="3"/>
    <s v="$5 to $10 million (USD)"/>
    <n v="-1"/>
    <n v="79"/>
    <n v="131"/>
    <n v="105"/>
    <x v="30"/>
    <x v="0"/>
  </r>
  <r>
    <s v="Senior Data Scientist"/>
    <s v="79-131"/>
    <n v="4.2"/>
    <s v="Mantech"/>
    <s v="Alexandria, VA"/>
    <s v="Herndon,VA"/>
    <x v="1"/>
    <n v="1968"/>
    <s v="Company - Public"/>
    <s v="Research &amp; Development"/>
    <x v="1"/>
    <s v="$1 to $2 billion (USD)"/>
    <n v="-1"/>
    <n v="79"/>
    <n v="131"/>
    <n v="105"/>
    <x v="1"/>
    <x v="0"/>
  </r>
  <r>
    <s v="(Sr.) Data Scientist -"/>
    <s v="79-131"/>
    <n v="3.6"/>
    <s v="Merrick Bank"/>
    <s v="Utah"/>
    <s v="South Jordan,UT"/>
    <x v="5"/>
    <n v="1997"/>
    <s v="Company - Private"/>
    <s v="Banks &amp; Credit Unions"/>
    <x v="9"/>
    <s v="Unknown / Non-Applicable"/>
    <n v="-1"/>
    <n v="79"/>
    <n v="131"/>
    <n v="105"/>
    <x v="15"/>
    <x v="0"/>
  </r>
  <r>
    <s v="Data Scientist"/>
    <s v="99-132"/>
    <n v="3.4"/>
    <s v="Mathematica Policy Research"/>
    <s v="Washington, DC"/>
    <s v="Princeton,NJ"/>
    <x v="0"/>
    <n v="1986"/>
    <s v="Company - Private"/>
    <s v="Consulting"/>
    <x v="1"/>
    <s v="$100 to $500 million (USD)"/>
    <n v="-1"/>
    <n v="99"/>
    <n v="132"/>
    <n v="115.5"/>
    <x v="14"/>
    <x v="0"/>
  </r>
  <r>
    <s v="Staff Data Scientist - Analytics"/>
    <s v="99-132"/>
    <n v="4.4000000000000004"/>
    <s v="Intuit - Data"/>
    <s v="San Diego, CA"/>
    <s v="Mountain View,CA"/>
    <x v="1"/>
    <n v="1983"/>
    <s v="Company - Public"/>
    <s v="Computer Hardware &amp; Software"/>
    <x v="3"/>
    <s v="$2 to $5 billion (USD)"/>
    <s v="Square, PayPal, H&amp;R Block"/>
    <n v="99"/>
    <n v="132"/>
    <n v="115.5"/>
    <x v="8"/>
    <x v="0"/>
  </r>
  <r>
    <s v="Data Analytics Engineer"/>
    <s v="99-132"/>
    <n v="3.5"/>
    <s v="Qomplx"/>
    <s v="Reston, VA"/>
    <s v="Reston,VA"/>
    <x v="3"/>
    <n v="2015"/>
    <s v="Company - Private"/>
    <s v="Enterprise Software &amp; Network Solutions"/>
    <x v="3"/>
    <s v="$10 to $25 million (USD)"/>
    <n v="-1"/>
    <n v="99"/>
    <n v="132"/>
    <n v="115.5"/>
    <x v="16"/>
    <x v="1"/>
  </r>
  <r>
    <s v="Data Scientist, Kinship - Nyc/Portland"/>
    <s v="99-132"/>
    <n v="3.9"/>
    <s v="Mars"/>
    <s v="New York, NY"/>
    <s v="Mc Lean,VA"/>
    <x v="4"/>
    <n v="1911"/>
    <s v="Company - Private"/>
    <s v="Food &amp; Beverage Manufacturing"/>
    <x v="2"/>
    <s v="$10+ billion (USD)"/>
    <n v="-1"/>
    <n v="99"/>
    <n v="132"/>
    <n v="115.5"/>
    <x v="50"/>
    <x v="0"/>
  </r>
  <r>
    <s v="Senior Data Scientist"/>
    <s v="99-132"/>
    <n v="3.8"/>
    <s v="Gutcheck"/>
    <s v="Denver, CO"/>
    <s v="Denver,CO"/>
    <x v="3"/>
    <n v="2009"/>
    <s v="Company - Private"/>
    <s v="Advertising &amp; Marketing"/>
    <x v="1"/>
    <s v="$10 to $25 million (USD)"/>
    <s v="Nielsen, Zappi, SurveyMonkey"/>
    <n v="99"/>
    <n v="132"/>
    <n v="115.5"/>
    <x v="51"/>
    <x v="1"/>
  </r>
  <r>
    <s v="Applied Technology Researcher / Data Scientist"/>
    <s v="99-132"/>
    <n v="3.5"/>
    <s v="Inter-American Development Bank"/>
    <s v="Washington, DC"/>
    <s v="Washington,DC"/>
    <x v="0"/>
    <n v="1959"/>
    <s v="Other Organization"/>
    <s v="Banks &amp; Credit Unions"/>
    <x v="9"/>
    <s v="$10+ billion (USD)"/>
    <s v="The World Bank, IMF"/>
    <n v="99"/>
    <n v="132"/>
    <n v="115.5"/>
    <x v="52"/>
    <x v="0"/>
  </r>
  <r>
    <s v="Data Scientist"/>
    <s v="99-132"/>
    <n v="4.9000000000000004"/>
    <s v="Avlino"/>
    <s v="New Jersey"/>
    <s v="Holmdel,NJ"/>
    <x v="6"/>
    <n v="2013"/>
    <s v="Company - Private"/>
    <s v="Enterprise Software &amp; Network Solutions"/>
    <x v="3"/>
    <s v="Less than $1 million (USD)"/>
    <n v="-1"/>
    <n v="99"/>
    <n v="132"/>
    <n v="115.5"/>
    <x v="35"/>
    <x v="1"/>
  </r>
  <r>
    <s v="Machine Learning Engineer"/>
    <s v="99-132"/>
    <n v="4.4000000000000004"/>
    <s v="Stratagem Group"/>
    <s v="Aurora, CO"/>
    <s v="Aurora,CO"/>
    <x v="6"/>
    <n v="2007"/>
    <s v="Company - Private"/>
    <s v="Aerospace &amp; Defense"/>
    <x v="10"/>
    <s v="Unknown / Non-Applicable"/>
    <n v="-1"/>
    <n v="99"/>
    <n v="132"/>
    <n v="115.5"/>
    <x v="53"/>
    <x v="1"/>
  </r>
  <r>
    <s v="Health Data Scientist - Biomedical/Biostats"/>
    <s v="99-132"/>
    <n v="4.0999999999999996"/>
    <s v="Evidation"/>
    <s v="Santa Barbara, CA"/>
    <s v="San Mateo,CA"/>
    <x v="3"/>
    <n v="2012"/>
    <s v="Company - Private"/>
    <s v="Internet"/>
    <x v="3"/>
    <s v="Unknown / Non-Applicable"/>
    <n v="-1"/>
    <n v="99"/>
    <n v="132"/>
    <n v="115.5"/>
    <x v="10"/>
    <x v="1"/>
  </r>
  <r>
    <s v="Senior Data Scientist"/>
    <s v="99-132"/>
    <n v="4"/>
    <s v="Autodesk"/>
    <s v="San Francisco, CA"/>
    <s v="San Rafael,CA"/>
    <x v="1"/>
    <n v="1982"/>
    <s v="Company - Public"/>
    <s v="Computer Hardware &amp; Software"/>
    <x v="3"/>
    <s v="$2 to $5 billion (USD)"/>
    <n v="-1"/>
    <n v="99"/>
    <n v="132"/>
    <n v="115.5"/>
    <x v="44"/>
    <x v="0"/>
  </r>
  <r>
    <s v="Staff Data Scientist"/>
    <s v="99-132"/>
    <n v="4.4000000000000004"/>
    <s v="Intuit - Data"/>
    <s v="San Diego, CA"/>
    <s v="Mountain View,CA"/>
    <x v="1"/>
    <n v="1983"/>
    <s v="Company - Public"/>
    <s v="Computer Hardware &amp; Software"/>
    <x v="3"/>
    <s v="$2 to $5 billion (USD)"/>
    <s v="Square, PayPal, H&amp;R Block"/>
    <n v="99"/>
    <n v="132"/>
    <n v="115.5"/>
    <x v="8"/>
    <x v="0"/>
  </r>
  <r>
    <s v="Data Scientist"/>
    <s v="99-132"/>
    <n v="3.8"/>
    <s v="Tecolote Research"/>
    <s v="Hill AFB, UT"/>
    <s v="Goleta,CA"/>
    <x v="2"/>
    <n v="1973"/>
    <s v="Company - Private"/>
    <s v="Aerospace &amp; Defense"/>
    <x v="10"/>
    <s v="$50 to $100 million (USD)"/>
    <n v="-1"/>
    <n v="99"/>
    <n v="132"/>
    <n v="115.5"/>
    <x v="13"/>
    <x v="0"/>
  </r>
  <r>
    <s v="Sr Data Engineer (Sr Bi Developer)"/>
    <s v="99-132"/>
    <n v="3.2"/>
    <s v="Tivity Health"/>
    <s v="Chandler, AZ"/>
    <s v="Franklin,TN"/>
    <x v="2"/>
    <n v="1981"/>
    <s v="Company - Public"/>
    <s v="Health Care Services &amp; Hospitals"/>
    <x v="8"/>
    <s v="Unknown / Non-Applicable"/>
    <n v="-1"/>
    <n v="99"/>
    <n v="132"/>
    <n v="115.5"/>
    <x v="2"/>
    <x v="0"/>
  </r>
  <r>
    <s v="Data Engineer"/>
    <s v="99-132"/>
    <n v="2.9"/>
    <s v="Hc"/>
    <s v="Indianapolis, IN"/>
    <s v="Indianapolis,IN"/>
    <x v="3"/>
    <n v="2011"/>
    <s v="Company - Private"/>
    <s v="Biotech &amp; Pharmaceuticals"/>
    <x v="4"/>
    <s v="$10 to $25 million (USD)"/>
    <n v="-1"/>
    <n v="99"/>
    <n v="132"/>
    <n v="115.5"/>
    <x v="20"/>
    <x v="1"/>
  </r>
  <r>
    <s v="Lead Data Scientist"/>
    <s v="99-132"/>
    <n v="4.0999999999999996"/>
    <s v="Hp Inc"/>
    <s v="San Diego, CA"/>
    <s v="Palo Alto,CA"/>
    <x v="4"/>
    <n v="1939"/>
    <s v="Company - Public"/>
    <s v="Computer Hardware &amp; Software"/>
    <x v="3"/>
    <s v="Unknown / Non-Applicable"/>
    <n v="-1"/>
    <n v="99"/>
    <n v="132"/>
    <n v="115.5"/>
    <x v="54"/>
    <x v="0"/>
  </r>
  <r>
    <s v="Data Scientist"/>
    <s v="99-132"/>
    <n v="3.7"/>
    <s v="Saic"/>
    <s v="Chantilly, VA"/>
    <s v="Reston,VA"/>
    <x v="4"/>
    <n v="2013"/>
    <s v="Company - Public"/>
    <s v="Enterprise Software &amp; Network Solutions"/>
    <x v="3"/>
    <s v="$5 to $10 million (USD)"/>
    <s v="Booz Allen Hamilton, CACI International"/>
    <n v="99"/>
    <n v="132"/>
    <n v="115.5"/>
    <x v="35"/>
    <x v="1"/>
  </r>
  <r>
    <s v="Rfp Data Analyst"/>
    <s v="99-132"/>
    <n v="3.2"/>
    <s v="Alliancebernstein"/>
    <s v="Nashville, TN"/>
    <s v="New York,NY"/>
    <x v="0"/>
    <n v="1967"/>
    <s v="Company - Public"/>
    <s v="Investment Banking &amp; Asset Management"/>
    <x v="9"/>
    <s v="$2 to $5 billion (USD)"/>
    <n v="-1"/>
    <n v="99"/>
    <n v="132"/>
    <n v="115.5"/>
    <x v="21"/>
    <x v="0"/>
  </r>
  <r>
    <s v="Data Analyst"/>
    <s v="99-132"/>
    <n v="4.9000000000000004"/>
    <s v="Big Huge Games"/>
    <s v="Timonium, MD"/>
    <s v="Lutherville Timonium,MD"/>
    <x v="3"/>
    <n v="2013"/>
    <s v="Subsidiary or Business Segment"/>
    <s v="Video Games"/>
    <x v="13"/>
    <s v="Unknown / Non-Applicable"/>
    <n v="-1"/>
    <n v="99"/>
    <n v="132"/>
    <n v="115.5"/>
    <x v="35"/>
    <x v="1"/>
  </r>
  <r>
    <s v="Data Scientist (Ts/Sci)"/>
    <s v="99-132"/>
    <n v="3.5"/>
    <s v="Maxar Technologies"/>
    <s v="Herndon, VA"/>
    <s v="Westminster,CO"/>
    <x v="1"/>
    <n v="-1"/>
    <s v="Company - Public"/>
    <s v="Aerospace &amp; Defense"/>
    <x v="10"/>
    <s v="$2 to $5 billion (USD)"/>
    <n v="-1"/>
    <n v="99"/>
    <n v="132"/>
    <n v="115.5"/>
    <x v="43"/>
    <x v="2"/>
  </r>
  <r>
    <s v="Data Engineer"/>
    <s v="99-132"/>
    <n v="5"/>
    <s v="Phantom Ai"/>
    <s v="Burlingame, CA"/>
    <s v="Burlingame,CA"/>
    <x v="6"/>
    <n v="2016"/>
    <s v="Company - Private"/>
    <s v="Computer Hardware &amp; Software"/>
    <x v="3"/>
    <s v="Unknown / Non-Applicable"/>
    <n v="-1"/>
    <n v="99"/>
    <n v="132"/>
    <n v="115.5"/>
    <x v="11"/>
    <x v="1"/>
  </r>
  <r>
    <s v="Data Scientist"/>
    <s v="99-132"/>
    <n v="4"/>
    <s v="Noblis"/>
    <s v="Reston, VA"/>
    <s v="Reston,VA"/>
    <x v="0"/>
    <n v="1996"/>
    <s v="Nonprofit Organization"/>
    <s v="Consulting"/>
    <x v="1"/>
    <s v="$100 to $500 million (USD)"/>
    <s v="Booz Allen Hamilton, SAIC, LMI"/>
    <n v="99"/>
    <n v="132"/>
    <n v="115.5"/>
    <x v="6"/>
    <x v="0"/>
  </r>
  <r>
    <s v="Data Scientist"/>
    <s v="99-132"/>
    <n v="3.6"/>
    <s v="Spring Health"/>
    <s v="New York, NY"/>
    <s v="New York,NY"/>
    <x v="6"/>
    <n v="2016"/>
    <s v="Company - Private"/>
    <s v="Health Care Services &amp; Hospitals"/>
    <x v="8"/>
    <s v="Unknown / Non-Applicable"/>
    <n v="-1"/>
    <n v="99"/>
    <n v="132"/>
    <n v="115.5"/>
    <x v="11"/>
    <x v="1"/>
  </r>
  <r>
    <s v="Software Engineer - Data Science"/>
    <s v="99-132"/>
    <n v="4"/>
    <s v="Clearedge"/>
    <s v="Annapolis Junction, MD"/>
    <s v="Annapolis Junction,MD"/>
    <x v="3"/>
    <n v="2002"/>
    <s v="Company - Private"/>
    <s v="Computer Hardware &amp; Software"/>
    <x v="3"/>
    <s v="$5 to $10 million (USD)"/>
    <n v="-1"/>
    <n v="99"/>
    <n v="132"/>
    <n v="115.5"/>
    <x v="55"/>
    <x v="0"/>
  </r>
  <r>
    <s v="Data Analyst/Engineer"/>
    <s v="99-132"/>
    <n v="3.2"/>
    <s v="Alliancebernstein"/>
    <s v="Nashville, TN"/>
    <s v="New York,NY"/>
    <x v="0"/>
    <n v="1967"/>
    <s v="Company - Public"/>
    <s v="Investment Banking &amp; Asset Management"/>
    <x v="9"/>
    <s v="$2 to $5 billion (USD)"/>
    <n v="-1"/>
    <n v="99"/>
    <n v="132"/>
    <n v="115.5"/>
    <x v="21"/>
    <x v="0"/>
  </r>
  <r>
    <s v="Ngs Scientist"/>
    <s v="99-132"/>
    <n v="5"/>
    <s v="Arsenal Biosciences"/>
    <s v="South San Francisco, CA"/>
    <s v="South San Francisco,CA"/>
    <x v="3"/>
    <n v="2019"/>
    <s v="Company - Private"/>
    <s v="Biotech &amp; Pharmaceuticals"/>
    <x v="4"/>
    <s v="Unknown / Non-Applicable"/>
    <n v="-1"/>
    <n v="99"/>
    <n v="132"/>
    <n v="115.5"/>
    <x v="27"/>
    <x v="2"/>
  </r>
  <r>
    <s v="Data Engineer"/>
    <s v="99-132"/>
    <n v="4.8"/>
    <s v="Getwellnetwork"/>
    <s v="Bethesda, MD"/>
    <s v="Bethesda,MD"/>
    <x v="5"/>
    <n v="2000"/>
    <s v="Company - Private"/>
    <s v="Health Care Services &amp; Hospitals"/>
    <x v="8"/>
    <s v="$50 to $100 million (USD)"/>
    <s v="Epic, CipherHealth"/>
    <n v="99"/>
    <n v="132"/>
    <n v="115.5"/>
    <x v="3"/>
    <x v="0"/>
  </r>
  <r>
    <s v="Data Scientist"/>
    <s v="99-132"/>
    <n v="4.5"/>
    <s v="Tacg Solutions"/>
    <s v="Dayton, OH"/>
    <s v="Beavercreek,OH"/>
    <x v="3"/>
    <n v="2006"/>
    <s v="Company - Private"/>
    <s v="Consulting"/>
    <x v="1"/>
    <s v="Unknown / Non-Applicable"/>
    <s v="Copper River Shared Services, Chenega Corporation, Deloitte"/>
    <n v="99"/>
    <n v="132"/>
    <n v="115.5"/>
    <x v="39"/>
    <x v="1"/>
  </r>
  <r>
    <s v="Senior Data Engineer"/>
    <s v="99-132"/>
    <n v="4.7"/>
    <s v="Scoop"/>
    <s v="San Francisco, CA"/>
    <s v="San Francisco,CA"/>
    <x v="3"/>
    <n v="2015"/>
    <s v="Company - Private"/>
    <s v="Internet"/>
    <x v="3"/>
    <s v="Unknown / Non-Applicable"/>
    <n v="-1"/>
    <n v="99"/>
    <n v="132"/>
    <n v="115.5"/>
    <x v="16"/>
    <x v="1"/>
  </r>
  <r>
    <s v="Senior Data Scientist"/>
    <s v="99-132"/>
    <n v="4.5"/>
    <s v="Novetta"/>
    <s v="Herndon, VA"/>
    <s v="Mc Lean,VA"/>
    <x v="2"/>
    <n v="2012"/>
    <s v="Company - Private"/>
    <s v="Enterprise Software &amp; Network Solutions"/>
    <x v="3"/>
    <s v="$100 to $500 million (USD)"/>
    <s v="Leidos, CACI International, Booz Allen Hamilton"/>
    <n v="99"/>
    <n v="132"/>
    <n v="115.5"/>
    <x v="10"/>
    <x v="1"/>
  </r>
  <r>
    <s v="Data Engineer"/>
    <s v="99-132"/>
    <n v="4.2"/>
    <s v="Izea"/>
    <s v="Winter Park, FL"/>
    <s v="Winter Park,FL"/>
    <x v="3"/>
    <n v="2006"/>
    <s v="Company - Public"/>
    <s v="Advertising &amp; Marketing"/>
    <x v="1"/>
    <s v="$25 to $50 million (USD)"/>
    <s v="Linqia, Collective Bias"/>
    <n v="99"/>
    <n v="132"/>
    <n v="115.5"/>
    <x v="39"/>
    <x v="1"/>
  </r>
  <r>
    <s v="Business Intelligence Analyst"/>
    <s v="99-132"/>
    <n v="3.4"/>
    <s v="Montway Inc"/>
    <s v="Schaumburg, IL"/>
    <s v="Schaumburg,IL"/>
    <x v="3"/>
    <n v="2006"/>
    <s v="Company - Private"/>
    <s v="Shipping"/>
    <x v="12"/>
    <s v="Unknown / Non-Applicable"/>
    <n v="-1"/>
    <n v="99"/>
    <n v="132"/>
    <n v="115.5"/>
    <x v="39"/>
    <x v="1"/>
  </r>
  <r>
    <s v="Sr. Ml/Data Scientist - Ai/Nlp/Chatbot"/>
    <s v="99-132"/>
    <n v="3.8"/>
    <s v="Juniper Networks"/>
    <s v="Cupertino, CA"/>
    <s v="Sunnyvale,CA"/>
    <x v="1"/>
    <n v="1996"/>
    <s v="Company - Public"/>
    <s v="Telecommunications Services"/>
    <x v="14"/>
    <s v="$2 to $5 billion (USD)"/>
    <n v="-1"/>
    <n v="99"/>
    <n v="132"/>
    <n v="115.5"/>
    <x v="6"/>
    <x v="0"/>
  </r>
  <r>
    <s v="Data Scientist"/>
    <s v="90-109"/>
    <n v="4.7"/>
    <s v="1904Labs"/>
    <s v="Saint Louis, MO"/>
    <s v="Saint Louis,MO"/>
    <x v="3"/>
    <n v="2016"/>
    <s v="Company - Private"/>
    <s v="IT Services"/>
    <x v="3"/>
    <s v="Unknown / Non-Applicable"/>
    <s v="Slalom, Daugherty Business Solutions"/>
    <n v="90"/>
    <n v="109"/>
    <n v="99.5"/>
    <x v="11"/>
    <x v="1"/>
  </r>
  <r>
    <s v="Data Scientist"/>
    <s v="90-109"/>
    <n v="3.6"/>
    <s v="Xsell Technologies"/>
    <s v="Chicago, IL"/>
    <s v="Chicago,IL"/>
    <x v="3"/>
    <n v="2014"/>
    <s v="Company - Private"/>
    <s v="Enterprise Software &amp; Network Solutions"/>
    <x v="3"/>
    <s v="Unknown / Non-Applicable"/>
    <n v="-1"/>
    <n v="90"/>
    <n v="109"/>
    <n v="99.5"/>
    <x v="9"/>
    <x v="1"/>
  </r>
  <r>
    <s v="Data Engineer"/>
    <s v="90-109"/>
    <n v="4.2"/>
    <s v="Izea"/>
    <s v="Winter Park, FL"/>
    <s v="Winter Park,FL"/>
    <x v="3"/>
    <n v="2006"/>
    <s v="Company - Public"/>
    <s v="Advertising &amp; Marketing"/>
    <x v="1"/>
    <s v="$25 to $50 million (USD)"/>
    <s v="Linqia, Collective Bias"/>
    <n v="90"/>
    <n v="109"/>
    <n v="99.5"/>
    <x v="39"/>
    <x v="1"/>
  </r>
  <r>
    <s v="Sr. Ml/Data Scientist - Ai/Nlp/Chatbot"/>
    <s v="90-109"/>
    <n v="3.8"/>
    <s v="Juniper Networks"/>
    <s v="Cupertino, CA"/>
    <s v="Sunnyvale,CA"/>
    <x v="1"/>
    <n v="1996"/>
    <s v="Company - Public"/>
    <s v="Telecommunications Services"/>
    <x v="14"/>
    <s v="$2 to $5 billion (USD)"/>
    <n v="-1"/>
    <n v="90"/>
    <n v="109"/>
    <n v="99.5"/>
    <x v="6"/>
    <x v="0"/>
  </r>
  <r>
    <s v="Data Scientist"/>
    <s v="90-109"/>
    <n v="5"/>
    <s v="Notion Labs"/>
    <s v="San Francisco, CA"/>
    <s v="San Francisco,CA"/>
    <x v="6"/>
    <n v="2016"/>
    <s v="Company - Private"/>
    <s v="Enterprise Software &amp; Network Solutions"/>
    <x v="3"/>
    <s v="Unknown / Non-Applicable"/>
    <n v="-1"/>
    <n v="90"/>
    <n v="109"/>
    <n v="99.5"/>
    <x v="11"/>
    <x v="1"/>
  </r>
  <r>
    <s v="Senior Data Engineer"/>
    <s v="90-109"/>
    <n v="4.9000000000000004"/>
    <s v="Lendio"/>
    <s v="Lehi, UT"/>
    <s v="Lehi,UT"/>
    <x v="5"/>
    <n v="2011"/>
    <s v="Company - Private"/>
    <s v="Lending"/>
    <x v="9"/>
    <s v="$50 to $100 million (USD)"/>
    <n v="-1"/>
    <n v="90"/>
    <n v="109"/>
    <n v="99.5"/>
    <x v="20"/>
    <x v="1"/>
  </r>
  <r>
    <s v="Data Engineer"/>
    <s v="90-109"/>
    <n v="4.4000000000000004"/>
    <s v="Direct Agents"/>
    <s v="Culver City, CA"/>
    <s v="New York,NY"/>
    <x v="3"/>
    <n v="2003"/>
    <s v="Company - Private"/>
    <s v="Advertising &amp; Marketing"/>
    <x v="1"/>
    <s v="$25 to $50 million (USD)"/>
    <n v="-1"/>
    <n v="90"/>
    <n v="109"/>
    <n v="99.5"/>
    <x v="24"/>
    <x v="0"/>
  </r>
  <r>
    <s v="Data Scientist"/>
    <s v="90-109"/>
    <n v="3.3"/>
    <s v="Navex Global"/>
    <s v="Lake Oswego, OR"/>
    <s v="Lake Oswego,OR"/>
    <x v="0"/>
    <n v="2012"/>
    <s v="Company - Private"/>
    <s v="Computer Hardware &amp; Software"/>
    <x v="3"/>
    <s v="$100 to $500 million (USD)"/>
    <n v="-1"/>
    <n v="90"/>
    <n v="109"/>
    <n v="99.5"/>
    <x v="10"/>
    <x v="1"/>
  </r>
  <r>
    <s v="Machine Learning Engineer"/>
    <s v="90-109"/>
    <n v="3.2"/>
    <s v="Triplebyte"/>
    <s v="Remote"/>
    <s v="San Francisco,CA"/>
    <x v="3"/>
    <n v="2015"/>
    <s v="Company - Private"/>
    <s v="Computer Hardware &amp; Software"/>
    <x v="3"/>
    <s v="Unknown / Non-Applicable"/>
    <n v="-1"/>
    <n v="90"/>
    <n v="109"/>
    <n v="99.5"/>
    <x v="16"/>
    <x v="1"/>
  </r>
  <r>
    <s v="Machine Learning Engineer"/>
    <s v="90-109"/>
    <n v="3.2"/>
    <s v="Triplebyte"/>
    <s v="Remote"/>
    <s v="San Francisco,CA"/>
    <x v="3"/>
    <n v="2015"/>
    <s v="Company - Private"/>
    <s v="Computer Hardware &amp; Software"/>
    <x v="3"/>
    <s v="Unknown / Non-Applicable"/>
    <n v="-1"/>
    <n v="90"/>
    <n v="109"/>
    <n v="99.5"/>
    <x v="16"/>
    <x v="1"/>
  </r>
  <r>
    <s v="Senior Data Engineer"/>
    <s v="90-109"/>
    <n v="4.9000000000000004"/>
    <s v="Lendio"/>
    <s v="Lehi, UT"/>
    <s v="Lehi,UT"/>
    <x v="5"/>
    <n v="2011"/>
    <s v="Company - Private"/>
    <s v="Lending"/>
    <x v="9"/>
    <s v="$50 to $100 million (USD)"/>
    <n v="-1"/>
    <n v="90"/>
    <n v="109"/>
    <n v="99.5"/>
    <x v="20"/>
    <x v="1"/>
  </r>
  <r>
    <s v="Data Scientist"/>
    <s v="90-109"/>
    <n v="4.2"/>
    <s v="Upstart"/>
    <s v="San Mateo, CA"/>
    <s v="San Mateo,CA"/>
    <x v="5"/>
    <n v="2012"/>
    <s v="Company - Private"/>
    <s v="Lending"/>
    <x v="9"/>
    <s v="Unknown / Non-Applicable"/>
    <n v="-1"/>
    <n v="90"/>
    <n v="109"/>
    <n v="99.5"/>
    <x v="10"/>
    <x v="1"/>
  </r>
  <r>
    <s v="Data Analyst"/>
    <s v="90-109"/>
    <n v="4.5"/>
    <s v="Envision Llc"/>
    <s v="San Francisco, CA"/>
    <s v="Saint Louis,MO"/>
    <x v="5"/>
    <n v="1994"/>
    <s v="Company - Private"/>
    <s v="Staffing &amp; Outsourcing"/>
    <x v="1"/>
    <s v="$25 to $50 million (USD)"/>
    <n v="-1"/>
    <n v="90"/>
    <n v="109"/>
    <n v="99.5"/>
    <x v="40"/>
    <x v="0"/>
  </r>
  <r>
    <s v="Data Engineer"/>
    <s v="90-109"/>
    <n v="4.8"/>
    <s v="Applovin"/>
    <s v="Palo Alto, CA"/>
    <s v="Palo Alto,CA"/>
    <x v="5"/>
    <n v="2012"/>
    <s v="Company - Private"/>
    <s v="Video Games"/>
    <x v="13"/>
    <s v="Unknown / Non-Applicable"/>
    <n v="-1"/>
    <n v="90"/>
    <n v="109"/>
    <n v="99.5"/>
    <x v="10"/>
    <x v="1"/>
  </r>
  <r>
    <s v="Data Integration And Modeling Engineer"/>
    <s v="90-109"/>
    <n v="3.8"/>
    <s v="Iso New England"/>
    <s v="Holyoke, MA"/>
    <s v="Holyoke,MA"/>
    <x v="2"/>
    <n v="1997"/>
    <s v="Nonprofit Organization"/>
    <s v="Utilities"/>
    <x v="6"/>
    <s v="Unknown / Non-Applicable"/>
    <n v="-1"/>
    <n v="90"/>
    <n v="109"/>
    <n v="99.5"/>
    <x v="15"/>
    <x v="0"/>
  </r>
  <r>
    <s v="Tableau Data Engineer 20-0117"/>
    <s v="90-109"/>
    <n v="3.7"/>
    <s v="Relativity"/>
    <s v="Chicago, IL"/>
    <s v="Chicago,IL"/>
    <x v="0"/>
    <n v="2001"/>
    <s v="Company - Private"/>
    <s v="Enterprise Software &amp; Network Solutions"/>
    <x v="3"/>
    <s v="Unknown / Non-Applicable"/>
    <n v="-1"/>
    <n v="90"/>
    <n v="109"/>
    <n v="99.5"/>
    <x v="46"/>
    <x v="0"/>
  </r>
  <r>
    <s v="Senior Data Scientist"/>
    <s v="90-109"/>
    <n v="3.3"/>
    <s v="Tempo Automation"/>
    <s v="San Francisco, CA"/>
    <s v="San Francisco,CA"/>
    <x v="3"/>
    <n v="2013"/>
    <s v="Company - Private"/>
    <s v="Electrical &amp; Electronic Manufacturing"/>
    <x v="2"/>
    <s v="$5 to $10 million (USD)"/>
    <n v="-1"/>
    <n v="90"/>
    <n v="109"/>
    <n v="99.5"/>
    <x v="35"/>
    <x v="1"/>
  </r>
  <r>
    <s v="Ai Data Scientist"/>
    <s v="90-109"/>
    <n v="3.3"/>
    <s v="Mitre"/>
    <s v="McLean, VA"/>
    <s v="Bedford,MA"/>
    <x v="1"/>
    <n v="1958"/>
    <s v="Nonprofit Organization"/>
    <s v="Federal Agencies"/>
    <x v="7"/>
    <s v="$1 to $2 billion (USD)"/>
    <s v="Battelle, General Atomics, SAIC"/>
    <n v="90"/>
    <n v="109"/>
    <n v="99.5"/>
    <x v="34"/>
    <x v="0"/>
  </r>
  <r>
    <s v="Machine Learning Engineer"/>
    <s v="90-109"/>
    <n v="5"/>
    <s v="Expedition Technology, Inc"/>
    <s v="Herndon, VA"/>
    <s v="Dulles,VA"/>
    <x v="6"/>
    <n v="2013"/>
    <s v="Company - Private"/>
    <s v="Aerospace &amp; Defense"/>
    <x v="10"/>
    <s v="$10 to $25 million (USD)"/>
    <n v="-1"/>
    <n v="90"/>
    <n v="109"/>
    <n v="99.5"/>
    <x v="35"/>
    <x v="1"/>
  </r>
  <r>
    <s v="Research Scientist Patient Preferences (Remote)"/>
    <s v="90-109"/>
    <n v="3.8"/>
    <s v="Evidera"/>
    <s v="Bethesda, MD"/>
    <s v="Bethesda,MD"/>
    <x v="2"/>
    <n v="2013"/>
    <s v="Subsidiary or Business Segment"/>
    <s v="Biotech &amp; Pharmaceuticals"/>
    <x v="4"/>
    <s v="$100 to $500 million (USD)"/>
    <s v="IQVIA, ICON"/>
    <n v="90"/>
    <n v="109"/>
    <n v="99.5"/>
    <x v="35"/>
    <x v="1"/>
  </r>
  <r>
    <s v="Data Scientist"/>
    <s v="90-109"/>
    <n v="3.4"/>
    <s v="Plymouth Rock Assurance"/>
    <s v="Woodbridge, NJ"/>
    <s v="Boston,MA"/>
    <x v="0"/>
    <n v="1982"/>
    <s v="Company - Private"/>
    <s v="Insurance Carriers"/>
    <x v="0"/>
    <s v="$10 to $25 million (USD)"/>
    <s v="Arbella Insurance, Safety Insurance"/>
    <n v="90"/>
    <n v="109"/>
    <n v="99.5"/>
    <x v="44"/>
    <x v="0"/>
  </r>
  <r>
    <s v="Scientist - Biomarker And Flow Cytometry"/>
    <s v="90-109"/>
    <n v="2.4"/>
    <s v="Crown Bioscience"/>
    <s v="San Diego, CA"/>
    <s v="San Diego,CA"/>
    <x v="2"/>
    <n v="2006"/>
    <s v="Company - Private"/>
    <s v="Biotech &amp; Pharmaceuticals"/>
    <x v="4"/>
    <s v="$50 to $100 million (USD)"/>
    <n v="-1"/>
    <n v="90"/>
    <n v="109"/>
    <n v="99.5"/>
    <x v="39"/>
    <x v="1"/>
  </r>
  <r>
    <s v="Data Scientist"/>
    <s v="90-109"/>
    <n v="2.9"/>
    <s v="Gns Healthcare"/>
    <s v="Cambridge, MA"/>
    <s v="Cambridge,MA"/>
    <x v="3"/>
    <n v="2000"/>
    <s v="Company - Private"/>
    <s v="Biotech &amp; Pharmaceuticals"/>
    <x v="4"/>
    <s v="$10 to $25 million (USD)"/>
    <n v="-1"/>
    <n v="90"/>
    <n v="109"/>
    <n v="99.5"/>
    <x v="3"/>
    <x v="0"/>
  </r>
  <r>
    <s v="Analytics Manager"/>
    <s v="90-109"/>
    <n v="4.4000000000000004"/>
    <s v="Onemagnify"/>
    <s v="Dearborn, MI"/>
    <s v="Detroit,MI"/>
    <x v="5"/>
    <n v="1967"/>
    <s v="Company - Private"/>
    <s v="Advertising &amp; Marketing"/>
    <x v="1"/>
    <s v="Unknown / Non-Applicable"/>
    <n v="-1"/>
    <n v="90"/>
    <n v="109"/>
    <n v="99.5"/>
    <x v="21"/>
    <x v="0"/>
  </r>
  <r>
    <s v="Data Scientist"/>
    <s v="90-109"/>
    <n v="2.9"/>
    <s v="Spectrum"/>
    <s v="Maryland Heights, MO"/>
    <s v="Stamford,CT"/>
    <x v="4"/>
    <n v="2016"/>
    <s v="Subsidiary or Business Segment"/>
    <s v="Cable, Internet &amp; Telephone Providers"/>
    <x v="14"/>
    <s v="$10+ billion (USD)"/>
    <n v="-1"/>
    <n v="90"/>
    <n v="109"/>
    <n v="99.5"/>
    <x v="11"/>
    <x v="1"/>
  </r>
  <r>
    <s v="Staff Scientist- Upstream Pd"/>
    <s v="90-109"/>
    <n v="2.7"/>
    <s v="Advanced Bioscience Laboratories"/>
    <s v="Rockville, MD"/>
    <s v="Rockville,MD"/>
    <x v="5"/>
    <n v="1961"/>
    <s v="Company - Private"/>
    <s v="Biotech &amp; Pharmaceuticals"/>
    <x v="4"/>
    <s v="$50 to $100 million (USD)"/>
    <n v="-1"/>
    <n v="90"/>
    <n v="109"/>
    <n v="99.5"/>
    <x v="56"/>
    <x v="0"/>
  </r>
  <r>
    <s v="Data Engineer"/>
    <s v="90-109"/>
    <n v="4.2"/>
    <s v="Procore Technologies"/>
    <s v="Carpinteria, CA"/>
    <s v="Carpinteria,CA"/>
    <x v="0"/>
    <n v="2002"/>
    <s v="Company - Private"/>
    <s v="Computer Hardware &amp; Software"/>
    <x v="3"/>
    <s v="Unknown / Non-Applicable"/>
    <n v="-1"/>
    <n v="90"/>
    <n v="109"/>
    <n v="99.5"/>
    <x v="55"/>
    <x v="0"/>
  </r>
  <r>
    <s v="Sr Scientist - Extractables &amp; Leachables"/>
    <s v="90-109"/>
    <n v="3.5"/>
    <s v="Ritedose"/>
    <s v="Columbia, SC"/>
    <s v="Columbia,SC"/>
    <x v="5"/>
    <n v="1995"/>
    <s v="Company - Private"/>
    <s v="Biotech &amp; Pharmaceuticals"/>
    <x v="4"/>
    <s v="$100 to $500 million (USD)"/>
    <n v="-1"/>
    <n v="90"/>
    <n v="109"/>
    <n v="99.5"/>
    <x v="42"/>
    <x v="0"/>
  </r>
  <r>
    <s v="Elisa Research Scientist (Cv-15)"/>
    <s v="90-109"/>
    <n v="-1"/>
    <s v="Covid-19 Search Partners"/>
    <s v="Hauppauge, NY"/>
    <n v="-1"/>
    <x v="7"/>
    <n v="-1"/>
    <s v="-1"/>
    <s v="-1"/>
    <x v="11"/>
    <s v="-1"/>
    <n v="-1"/>
    <n v="90"/>
    <n v="109"/>
    <n v="99.5"/>
    <x v="43"/>
    <x v="2"/>
  </r>
  <r>
    <s v="Sr Data Scientist"/>
    <s v="90-109"/>
    <n v="4.2"/>
    <s v="Biomг©Rieux"/>
    <s v="Saint Louis, MO"/>
    <s v="Marcy-L'Etoile,France"/>
    <x v="4"/>
    <n v="1963"/>
    <s v="Company - Private"/>
    <s v="Biotech &amp; Pharmaceuticals"/>
    <x v="4"/>
    <s v="$2 to $5 billion (USD)"/>
    <n v="-1"/>
    <n v="90"/>
    <n v="109"/>
    <n v="99.5"/>
    <x v="57"/>
    <x v="0"/>
  </r>
  <r>
    <s v="Data Scientist"/>
    <s v="101-165"/>
    <n v="4.5"/>
    <s v="Novetta"/>
    <s v="Herndon, VA"/>
    <s v="Mc Lean,VA"/>
    <x v="2"/>
    <n v="2012"/>
    <s v="Company - Private"/>
    <s v="Enterprise Software &amp; Network Solutions"/>
    <x v="3"/>
    <s v="$100 to $500 million (USD)"/>
    <s v="Leidos, CACI International, Booz Allen Hamilton"/>
    <n v="101"/>
    <n v="165"/>
    <n v="133"/>
    <x v="10"/>
    <x v="1"/>
  </r>
  <r>
    <s v="Experienced Data Scientist"/>
    <s v="101-165"/>
    <n v="4.4000000000000004"/>
    <s v="Guzman &amp; Griffin Technologies (Ggti"/>
    <s v="Washington, DC"/>
    <s v="Mays Landing,NJ"/>
    <x v="6"/>
    <n v="1997"/>
    <s v="Company - Private"/>
    <s v="Federal Agencies"/>
    <x v="7"/>
    <s v="Unknown / Non-Applicable"/>
    <n v="-1"/>
    <n v="101"/>
    <n v="165"/>
    <n v="133"/>
    <x v="15"/>
    <x v="0"/>
  </r>
  <r>
    <s v="Machine Learning Engineer"/>
    <s v="101-165"/>
    <n v="-1"/>
    <s v="Radical Convergence"/>
    <s v="Reston, VA"/>
    <n v="-1"/>
    <x v="7"/>
    <n v="-1"/>
    <s v="-1"/>
    <s v="-1"/>
    <x v="11"/>
    <s v="-1"/>
    <n v="-1"/>
    <n v="101"/>
    <n v="165"/>
    <n v="133"/>
    <x v="43"/>
    <x v="2"/>
  </r>
  <r>
    <s v="Data Scientist"/>
    <s v="101-165"/>
    <n v="3.5"/>
    <s v="Leidos"/>
    <s v="Fort Meade, MD"/>
    <s v="Reston,VA"/>
    <x v="4"/>
    <n v="1969"/>
    <s v="Company - Public"/>
    <s v="Aerospace &amp; Defense"/>
    <x v="10"/>
    <s v="$10+ billion (USD)"/>
    <n v="-1"/>
    <n v="101"/>
    <n v="165"/>
    <n v="133"/>
    <x v="58"/>
    <x v="0"/>
  </r>
  <r>
    <s v="Data Scientist"/>
    <s v="101-165"/>
    <n v="4.5"/>
    <s v="Demandbase"/>
    <s v="San Francisco, CA"/>
    <s v="San Francisco,CA"/>
    <x v="5"/>
    <n v="2006"/>
    <s v="Company - Private"/>
    <s v="Computer Hardware &amp; Software"/>
    <x v="3"/>
    <s v="$100 to $500 million (USD)"/>
    <s v="Engagio, Bombora, Terminus"/>
    <n v="101"/>
    <n v="165"/>
    <n v="133"/>
    <x v="39"/>
    <x v="1"/>
  </r>
  <r>
    <s v="Say Business Data Analyst"/>
    <s v="101-165"/>
    <n v="4.0999999999999996"/>
    <s v="Shelter Insurance"/>
    <s v="Columbia, MO"/>
    <s v="Columbia,MO"/>
    <x v="0"/>
    <n v="1946"/>
    <s v="Company - Private"/>
    <s v="Insurance Carriers"/>
    <x v="0"/>
    <s v="$1 to $2 billion (USD)"/>
    <n v="-1"/>
    <n v="101"/>
    <n v="165"/>
    <n v="133"/>
    <x v="59"/>
    <x v="0"/>
  </r>
  <r>
    <s v="Geospatial Data Scientist"/>
    <s v="101-165"/>
    <n v="3.5"/>
    <s v="Maxar Technologies"/>
    <s v="Chantilly, VA"/>
    <s v="Westminster,CO"/>
    <x v="1"/>
    <n v="-1"/>
    <s v="Company - Public"/>
    <s v="Aerospace &amp; Defense"/>
    <x v="10"/>
    <s v="$2 to $5 billion (USD)"/>
    <n v="-1"/>
    <n v="101"/>
    <n v="165"/>
    <n v="133"/>
    <x v="43"/>
    <x v="2"/>
  </r>
  <r>
    <s v="Data Analyst"/>
    <s v="101-165"/>
    <n v="2.7"/>
    <s v="Usac"/>
    <s v="Washington, DC"/>
    <s v="Washington,DC"/>
    <x v="2"/>
    <n v="1997"/>
    <s v="Nonprofit Organization"/>
    <s v="Telecommunications Services"/>
    <x v="14"/>
    <s v="$25 to $50 million (USD)"/>
    <n v="-1"/>
    <n v="101"/>
    <n v="165"/>
    <n v="133"/>
    <x v="15"/>
    <x v="0"/>
  </r>
  <r>
    <s v="Computational Scientist"/>
    <s v="101-165"/>
    <n v="3.4"/>
    <s v="General Dynamics Information Technology"/>
    <s v="Vicksburg, MS"/>
    <s v="Fairfax,VA"/>
    <x v="4"/>
    <n v="1996"/>
    <s v="Subsidiary or Business Segment"/>
    <s v="IT Services"/>
    <x v="3"/>
    <s v="$10+ billion (USD)"/>
    <s v="SAIC, Leidos, Northrop Grumman"/>
    <n v="101"/>
    <n v="165"/>
    <n v="133"/>
    <x v="6"/>
    <x v="0"/>
  </r>
  <r>
    <s v="Data Scientist"/>
    <s v="101-165"/>
    <n v="4.4000000000000004"/>
    <s v="Offerpad"/>
    <s v="Chandler, AZ"/>
    <s v="Chandler,AZ"/>
    <x v="5"/>
    <n v="2015"/>
    <s v="Company - Private"/>
    <s v="Real Estate"/>
    <x v="15"/>
    <s v="Unknown / Non-Applicable"/>
    <n v="-1"/>
    <n v="101"/>
    <n v="165"/>
    <n v="133"/>
    <x v="16"/>
    <x v="1"/>
  </r>
  <r>
    <s v="Senior Data Analyst"/>
    <s v="101-165"/>
    <n v="4"/>
    <s v="Autodesk"/>
    <s v="San Francisco, CA"/>
    <s v="San Rafael,CA"/>
    <x v="1"/>
    <n v="1982"/>
    <s v="Company - Public"/>
    <s v="Computer Hardware &amp; Software"/>
    <x v="3"/>
    <s v="$2 to $5 billion (USD)"/>
    <n v="-1"/>
    <n v="101"/>
    <n v="165"/>
    <n v="133"/>
    <x v="44"/>
    <x v="0"/>
  </r>
  <r>
    <s v="Senior Data Analyst"/>
    <s v="101-165"/>
    <n v="4.2"/>
    <s v="Autodesk"/>
    <s v="San Francisco, CA"/>
    <s v="Herndon,VA"/>
    <x v="1"/>
    <n v="1968"/>
    <s v="Company - Public"/>
    <s v="Research &amp; Development"/>
    <x v="1"/>
    <s v="$1 to $2 billion (USD)"/>
    <n v="-1"/>
    <n v="101"/>
    <n v="165"/>
    <n v="133"/>
    <x v="1"/>
    <x v="0"/>
  </r>
  <r>
    <s v="Data Engineer"/>
    <s v="101-165"/>
    <n v="3.5"/>
    <s v="Magna International Inc"/>
    <s v="Birmingham, AL"/>
    <s v="Aurora,Canada"/>
    <x v="4"/>
    <n v="1957"/>
    <s v="Company - Public"/>
    <s v="-1"/>
    <x v="11"/>
    <s v="$10+ billion (USD)"/>
    <s v="Bosch, Lear Corporation, Faurecia"/>
    <n v="101"/>
    <n v="165"/>
    <n v="133"/>
    <x v="60"/>
    <x v="0"/>
  </r>
  <r>
    <s v="Sr Data Analyst"/>
    <s v="101-165"/>
    <n v="2.2999999999999998"/>
    <s v="United Biosource"/>
    <s v="Blue Bell, PA"/>
    <s v="Blue Bell,PA"/>
    <x v="0"/>
    <n v="2003"/>
    <s v="Other Organization"/>
    <s v="Biotech &amp; Pharmaceuticals"/>
    <x v="4"/>
    <s v="$100 to $500 million (USD)"/>
    <s v="Covance, ICON"/>
    <n v="101"/>
    <n v="165"/>
    <n v="133"/>
    <x v="24"/>
    <x v="0"/>
  </r>
  <r>
    <s v="Data Scientist"/>
    <s v="101-165"/>
    <n v="3.4"/>
    <s v="Kelly"/>
    <s v="Chicago, IL"/>
    <s v="Troy,MI"/>
    <x v="1"/>
    <n v="1946"/>
    <s v="Company - Public"/>
    <s v="Staffing &amp; Outsourcing"/>
    <x v="1"/>
    <s v="$5 to $10 billion (USD)"/>
    <s v="Adecco, ManpowerGroup, Allegis Corporation"/>
    <n v="101"/>
    <n v="165"/>
    <n v="133"/>
    <x v="59"/>
    <x v="0"/>
  </r>
  <r>
    <s v="Machine Learning Scientist - Bay Area, Ca"/>
    <s v="101-165"/>
    <n v="3.3"/>
    <s v="Tempus Labs"/>
    <s v="Redwood City, CA"/>
    <s v="Chicago,IL"/>
    <x v="2"/>
    <n v="2015"/>
    <s v="Company - Private"/>
    <s v="Biotech &amp; Pharmaceuticals"/>
    <x v="4"/>
    <s v="Unknown / Non-Applicable"/>
    <n v="-1"/>
    <n v="101"/>
    <n v="165"/>
    <n v="133"/>
    <x v="16"/>
    <x v="1"/>
  </r>
  <r>
    <s v="Data Scientist"/>
    <s v="101-165"/>
    <n v="4.7"/>
    <s v="C3.Ai"/>
    <s v="Redwood City, CA"/>
    <s v="Redwood City,CA"/>
    <x v="5"/>
    <n v="2009"/>
    <s v="Company - Private"/>
    <s v="Enterprise Software &amp; Network Solutions"/>
    <x v="3"/>
    <s v="$100 to $500 million (USD)"/>
    <s v="GE Digital, Palantir Technologies, Uptake"/>
    <n v="101"/>
    <n v="165"/>
    <n v="133"/>
    <x v="51"/>
    <x v="1"/>
  </r>
  <r>
    <s v="Senior Data Scientist - Algorithms"/>
    <s v="101-165"/>
    <n v="3.9"/>
    <s v="Quartet Health"/>
    <s v="New York, NY"/>
    <s v="New York,NY"/>
    <x v="5"/>
    <n v="2014"/>
    <s v="Company - Private"/>
    <s v="Enterprise Software &amp; Network Solutions"/>
    <x v="3"/>
    <s v="Unknown / Non-Applicable"/>
    <n v="-1"/>
    <n v="101"/>
    <n v="165"/>
    <n v="133"/>
    <x v="9"/>
    <x v="1"/>
  </r>
  <r>
    <s v="Data Analyst"/>
    <s v="101-165"/>
    <n v="3.3"/>
    <s v="Midland Credit Management"/>
    <s v="San Diego, CA"/>
    <s v="San Diego,CA"/>
    <x v="0"/>
    <n v="1953"/>
    <s v="Subsidiary or Business Segment"/>
    <s v="Banks &amp; Credit Unions"/>
    <x v="9"/>
    <s v="$1 to $2 billion (USD)"/>
    <s v="PRA Group"/>
    <n v="101"/>
    <n v="165"/>
    <n v="133"/>
    <x v="61"/>
    <x v="0"/>
  </r>
  <r>
    <s v="Senior Data &amp; Machine Learning Scientist"/>
    <s v="101-165"/>
    <n v="3.3"/>
    <s v="Tempus Labs"/>
    <s v="Chicago, IL"/>
    <s v="Chicago,IL"/>
    <x v="2"/>
    <n v="2015"/>
    <s v="Company - Private"/>
    <s v="Biotech &amp; Pharmaceuticals"/>
    <x v="4"/>
    <s v="Unknown / Non-Applicable"/>
    <n v="-1"/>
    <n v="101"/>
    <n v="165"/>
    <n v="133"/>
    <x v="16"/>
    <x v="1"/>
  </r>
  <r>
    <s v="Data Engineer"/>
    <s v="101-165"/>
    <n v="4.4000000000000004"/>
    <s v="Resurgent Capital Services"/>
    <s v="Cincinnati, OH"/>
    <s v="Greenville,SC"/>
    <x v="5"/>
    <n v="1998"/>
    <s v="Company - Private"/>
    <s v="Venture Capital &amp; Private Equity"/>
    <x v="9"/>
    <s v="$50 to $100 million (USD)"/>
    <n v="-1"/>
    <n v="101"/>
    <n v="165"/>
    <n v="133"/>
    <x v="4"/>
    <x v="0"/>
  </r>
  <r>
    <s v="Data Scientist - Statistics, Early Career"/>
    <s v="56-97"/>
    <n v="3.7"/>
    <s v="Pnnl"/>
    <s v="Richland, WA"/>
    <s v="Richland,WA"/>
    <x v="0"/>
    <n v="1965"/>
    <s v="Government"/>
    <s v="Energy"/>
    <x v="6"/>
    <s v="$500 million to $1 billion (USD)"/>
    <s v="Oak Ridge National Laboratory, National Renewable Energy Lab, Los Alamos National Laboratory"/>
    <n v="56"/>
    <n v="97"/>
    <n v="76.5"/>
    <x v="12"/>
    <x v="0"/>
  </r>
  <r>
    <s v="Data Scientist"/>
    <s v="56-97"/>
    <n v="3.5"/>
    <s v="Buckman"/>
    <s v="Memphis, TN"/>
    <s v="Memphis,TN"/>
    <x v="0"/>
    <n v="1945"/>
    <s v="Company - Private"/>
    <s v="Chemical Manufacturing"/>
    <x v="2"/>
    <s v="$500 million to $1 billion (USD)"/>
    <n v="-1"/>
    <n v="56"/>
    <n v="97"/>
    <n v="76.5"/>
    <x v="17"/>
    <x v="0"/>
  </r>
  <r>
    <s v="Machine Learning Engineer"/>
    <s v="56-97"/>
    <n v="3.6"/>
    <s v="Buckman"/>
    <s v="Memphis, TN"/>
    <s v="Arlington,VA"/>
    <x v="2"/>
    <n v="1967"/>
    <s v="Nonprofit Organization"/>
    <s v="Federal Agencies"/>
    <x v="7"/>
    <s v="$50 to $100 million (USD)"/>
    <n v="-1"/>
    <n v="56"/>
    <n v="97"/>
    <n v="76.5"/>
    <x v="21"/>
    <x v="0"/>
  </r>
  <r>
    <s v="Research Scientist - Patient-Centered Research (Remote)"/>
    <s v="56-97"/>
    <n v="3.8"/>
    <s v="Evidera"/>
    <s v="Bethesda, MD"/>
    <s v="Bethesda,MD"/>
    <x v="2"/>
    <n v="2013"/>
    <s v="Subsidiary or Business Segment"/>
    <s v="Biotech &amp; Pharmaceuticals"/>
    <x v="4"/>
    <s v="$100 to $500 million (USD)"/>
    <s v="IQVIA, ICON"/>
    <n v="56"/>
    <n v="97"/>
    <n v="76.5"/>
    <x v="35"/>
    <x v="1"/>
  </r>
  <r>
    <s v="Jr. Business Data Analyst (Position Added 6/12/2020)"/>
    <s v="56-97"/>
    <n v="4.7"/>
    <s v="Webfx.Com"/>
    <s v="Harrisburg, PA"/>
    <s v="Harrisburg,PA"/>
    <x v="5"/>
    <n v="1997"/>
    <s v="Company - Private"/>
    <s v="Advertising &amp; Marketing"/>
    <x v="1"/>
    <s v="$25 to $50 million (USD)"/>
    <n v="-1"/>
    <n v="56"/>
    <n v="97"/>
    <n v="76.5"/>
    <x v="15"/>
    <x v="0"/>
  </r>
  <r>
    <s v="Sr. Data Scientist Ii"/>
    <s v="56-97"/>
    <n v="3.5"/>
    <s v="Argo Group Us"/>
    <s v="New York, NY"/>
    <s v="Hamilton,Bermuda"/>
    <x v="0"/>
    <n v="1948"/>
    <s v="Company - Public"/>
    <s v="Insurance Carriers"/>
    <x v="0"/>
    <s v="$1 to $2 billion (USD)"/>
    <n v="-1"/>
    <n v="56"/>
    <n v="97"/>
    <n v="76.5"/>
    <x v="62"/>
    <x v="0"/>
  </r>
  <r>
    <s v="Data Scientist"/>
    <s v="56-97"/>
    <n v="3.3"/>
    <s v="Bwx Technologies"/>
    <s v="Oak Ridge, TN"/>
    <s v="Lynchburg,VA"/>
    <x v="1"/>
    <n v="1850"/>
    <s v="Company - Public"/>
    <s v="Aerospace &amp; Defense"/>
    <x v="10"/>
    <s v="$500 million to $1 billion (USD)"/>
    <n v="-1"/>
    <n v="56"/>
    <n v="97"/>
    <n v="76.5"/>
    <x v="63"/>
    <x v="0"/>
  </r>
  <r>
    <s v="Senior Data Analyst"/>
    <s v="56-97"/>
    <n v="3.9"/>
    <s v="Life"/>
    <s v="San Francisco, CA"/>
    <s v="San Francisco,CA"/>
    <x v="3"/>
    <n v="2008"/>
    <s v="Company - Public"/>
    <s v="Internet"/>
    <x v="3"/>
    <s v="Unknown / Non-Applicable"/>
    <n v="-1"/>
    <n v="56"/>
    <n v="97"/>
    <n v="76.5"/>
    <x v="29"/>
    <x v="1"/>
  </r>
  <r>
    <s v="Lead Data Scientist"/>
    <s v="56-97"/>
    <n v="3.7"/>
    <s v="Massmutual"/>
    <s v="Boston, MA"/>
    <s v="Springfield,MA"/>
    <x v="1"/>
    <n v="1851"/>
    <s v="Company - Private"/>
    <s v="Insurance Carriers"/>
    <x v="0"/>
    <s v="$10+ billion (USD)"/>
    <n v="-1"/>
    <n v="56"/>
    <n v="97"/>
    <n v="76.5"/>
    <x v="64"/>
    <x v="0"/>
  </r>
  <r>
    <s v="Production Engineer - Statistics/Data Analysis"/>
    <s v="56-97"/>
    <n v="3.9"/>
    <s v="Natera"/>
    <s v="San Carlos, CA"/>
    <s v="San Carlos,CA"/>
    <x v="2"/>
    <n v="2004"/>
    <s v="Company - Public"/>
    <s v="Biotech &amp; Pharmaceuticals"/>
    <x v="4"/>
    <s v="$100 to $500 million (USD)"/>
    <s v="Genomic Health, 23andMe, Illumina"/>
    <n v="56"/>
    <n v="97"/>
    <n v="76.5"/>
    <x v="65"/>
    <x v="0"/>
  </r>
  <r>
    <s v="Statistical Scientist"/>
    <s v="56-97"/>
    <n v="4"/>
    <s v="Genentech"/>
    <s v="South San Francisco, CA"/>
    <s v="South San Francisco,CA"/>
    <x v="4"/>
    <n v="1976"/>
    <s v="Subsidiary or Business Segment"/>
    <s v="Biotech &amp; Pharmaceuticals"/>
    <x v="4"/>
    <s v="$10+ billion (USD)"/>
    <n v="-1"/>
    <n v="56"/>
    <n v="97"/>
    <n v="76.5"/>
    <x v="66"/>
    <x v="0"/>
  </r>
  <r>
    <s v="Computational Behavioral Scientist"/>
    <s v="56-97"/>
    <n v="4.2"/>
    <s v="Ntrepid"/>
    <s v="Herndon, VA"/>
    <s v="Herndon,VA"/>
    <x v="5"/>
    <n v="2010"/>
    <s v="Company - Private"/>
    <s v="IT Services"/>
    <x v="3"/>
    <s v="$50 to $100 million (USD)"/>
    <s v="Bromium, FireEye, Authentic8"/>
    <n v="56"/>
    <n v="97"/>
    <n v="76.5"/>
    <x v="5"/>
    <x v="1"/>
  </r>
  <r>
    <s v="Principal Data Scientist - Machine Learning"/>
    <s v="56-97"/>
    <n v="3.6"/>
    <s v="Constant Contact"/>
    <s v="Waltham, MA"/>
    <s v="Waltham,MA"/>
    <x v="8"/>
    <n v="1995"/>
    <s v="Subsidiary or Business Segment"/>
    <s v="Advertising &amp; Marketing"/>
    <x v="1"/>
    <s v="Unknown / Non-Applicable"/>
    <s v="Drip, iContact, Mailchimp"/>
    <n v="56"/>
    <n v="97"/>
    <n v="76.5"/>
    <x v="42"/>
    <x v="0"/>
  </r>
  <r>
    <s v="Principal Machine Learning Scientist"/>
    <s v="56-97"/>
    <n v="4.7"/>
    <s v="Sage Intacct"/>
    <s v="San Francisco, CA"/>
    <s v="San Jose,CA"/>
    <x v="2"/>
    <n v="1999"/>
    <s v="Subsidiary or Business Segment"/>
    <s v="Computer Hardware &amp; Software"/>
    <x v="3"/>
    <s v="Unknown / Non-Applicable"/>
    <n v="-1"/>
    <n v="56"/>
    <n v="97"/>
    <n v="76.5"/>
    <x v="30"/>
    <x v="0"/>
  </r>
  <r>
    <s v="Data Engineer"/>
    <s v="56-97"/>
    <n v="4.0999999999999996"/>
    <s v="Shape Security"/>
    <s v="Santa Clara, CA"/>
    <s v="Mountain View,CA"/>
    <x v="3"/>
    <n v="2011"/>
    <s v="Company - Private"/>
    <s v="IT Services"/>
    <x v="3"/>
    <s v="Unknown / Non-Applicable"/>
    <n v="-1"/>
    <n v="56"/>
    <n v="97"/>
    <n v="76.5"/>
    <x v="20"/>
    <x v="1"/>
  </r>
  <r>
    <s v="Principal Data Scientist"/>
    <s v="56-97"/>
    <n v="4"/>
    <s v="Astrazeneca"/>
    <s v="Gaithersburg, MD"/>
    <s v="Cambridge,United Kingdom"/>
    <x v="4"/>
    <n v="1913"/>
    <s v="Company - Public"/>
    <s v="Biotech &amp; Pharmaceuticals"/>
    <x v="4"/>
    <s v="$10+ billion (USD)"/>
    <s v="Roche, GlaxoSmithKline, Novartis"/>
    <n v="56"/>
    <n v="97"/>
    <n v="76.5"/>
    <x v="48"/>
    <x v="0"/>
  </r>
  <r>
    <s v="Data Scientist"/>
    <s v="56-97"/>
    <n v="5"/>
    <s v="Skillsoniq"/>
    <s v="San Francisco, CA"/>
    <s v="Jersey City,NJ"/>
    <x v="8"/>
    <n v="-1"/>
    <s v="Company - Public"/>
    <s v="-1"/>
    <x v="11"/>
    <s v="Unknown / Non-Applicable"/>
    <n v="-1"/>
    <n v="56"/>
    <n v="97"/>
    <n v="76.5"/>
    <x v="43"/>
    <x v="2"/>
  </r>
  <r>
    <s v="Senior Data Scientist - R&amp;D Oncology"/>
    <s v="56-97"/>
    <n v="4"/>
    <s v="Astrazeneca"/>
    <s v="New York, NY"/>
    <s v="Cambridge,United Kingdom"/>
    <x v="4"/>
    <n v="1913"/>
    <s v="Company - Public"/>
    <s v="Biotech &amp; Pharmaceuticals"/>
    <x v="4"/>
    <s v="$10+ billion (USD)"/>
    <s v="Roche, GlaxoSmithKline, Novartis"/>
    <n v="56"/>
    <n v="97"/>
    <n v="76.5"/>
    <x v="48"/>
    <x v="0"/>
  </r>
  <r>
    <s v="Data Scientist"/>
    <s v="56-97"/>
    <n v="4.3"/>
    <s v="Joby Aviation"/>
    <s v="San Carlos, CA"/>
    <s v="Santa Cruz,CA"/>
    <x v="3"/>
    <n v="-1"/>
    <s v="Company - Private"/>
    <s v="-1"/>
    <x v="11"/>
    <s v="Unknown / Non-Applicable"/>
    <n v="-1"/>
    <n v="56"/>
    <n v="97"/>
    <n v="76.5"/>
    <x v="43"/>
    <x v="2"/>
  </r>
  <r>
    <s v="Health Plan Data Analyst, Sr"/>
    <s v="56-97"/>
    <n v="3.8"/>
    <s v="Cook Children'S Health Care System"/>
    <s v="Fort Worth, TX"/>
    <s v="Fort Worth,TX"/>
    <x v="1"/>
    <n v="1918"/>
    <s v="Nonprofit Organization"/>
    <s v="Health Care Services &amp; Hospitals"/>
    <x v="8"/>
    <s v="$100 to $500 million (USD)"/>
    <s v="Children's Health, Texas Health Resources, Baylor Scott &amp; White Health"/>
    <n v="56"/>
    <n v="97"/>
    <n v="76.5"/>
    <x v="67"/>
    <x v="0"/>
  </r>
  <r>
    <s v="Principal Scientist/Associate Director, Quality Control And Analytical Technologies"/>
    <s v="56-97"/>
    <n v="3.8"/>
    <s v="Rubius Therapeutics"/>
    <s v="Smithfield, RI"/>
    <s v="Cambridge,MA"/>
    <x v="5"/>
    <n v="2013"/>
    <s v="Company - Public"/>
    <s v="Biotech &amp; Pharmaceuticals"/>
    <x v="4"/>
    <s v="$100 to $500 million (USD)"/>
    <n v="-1"/>
    <n v="56"/>
    <n v="97"/>
    <n v="76.5"/>
    <x v="35"/>
    <x v="1"/>
  </r>
  <r>
    <s v="Analytics - Business Assurance Data Analyst"/>
    <s v="56-97"/>
    <n v="4.5999999999999996"/>
    <s v="Greatamerica Financial Services"/>
    <s v="Cedar Rapids, IA"/>
    <s v="Cedar Rapids,IA"/>
    <x v="2"/>
    <n v="1992"/>
    <s v="Company - Private"/>
    <s v="Lending"/>
    <x v="9"/>
    <s v="$100 to $500 million (USD)"/>
    <n v="-1"/>
    <n v="56"/>
    <n v="97"/>
    <n v="76.5"/>
    <x v="23"/>
    <x v="0"/>
  </r>
  <r>
    <s v="Data Scientist - Contract"/>
    <s v="79-106"/>
    <n v="4.0999999999999996"/>
    <s v="Upside Business Travel"/>
    <s v="Remote"/>
    <s v="Washington,DC"/>
    <x v="3"/>
    <n v="2015"/>
    <s v="Company - Private"/>
    <s v="Internet"/>
    <x v="3"/>
    <s v="Unknown / Non-Applicable"/>
    <n v="-1"/>
    <n v="79"/>
    <n v="106"/>
    <n v="92.5"/>
    <x v="16"/>
    <x v="1"/>
  </r>
  <r>
    <s v="Data Scientist"/>
    <s v="79-106"/>
    <n v="3.4"/>
    <s v="Spectrum Communications And Consulting"/>
    <s v="Chicago, IL"/>
    <s v="Chicago,IL"/>
    <x v="3"/>
    <n v="1992"/>
    <s v="Company - Private"/>
    <s v="Advertising &amp; Marketing"/>
    <x v="1"/>
    <s v="$10 to $25 million (USD)"/>
    <n v="-1"/>
    <n v="79"/>
    <n v="106"/>
    <n v="92.5"/>
    <x v="23"/>
    <x v="0"/>
  </r>
  <r>
    <s v="Data Scientist"/>
    <s v="79-106"/>
    <n v="4.0999999999999996"/>
    <s v="Coverent"/>
    <s v="McLean, VA"/>
    <s v="Mclean,VA"/>
    <x v="3"/>
    <n v="2008"/>
    <s v="Company - Private"/>
    <s v="Consulting"/>
    <x v="1"/>
    <s v="$10 to $25 million (USD)"/>
    <n v="-1"/>
    <n v="79"/>
    <n v="106"/>
    <n v="92.5"/>
    <x v="29"/>
    <x v="1"/>
  </r>
  <r>
    <s v="Machine Learning Engineer"/>
    <s v="79-106"/>
    <n v="3.7"/>
    <s v="Mteq"/>
    <s v="Fort Belvoir, VA"/>
    <s v="Lorton,VA"/>
    <x v="2"/>
    <n v="1954"/>
    <s v="Company - Public"/>
    <s v="Aerospace &amp; Defense"/>
    <x v="10"/>
    <s v="$100 to $500 million (USD)"/>
    <s v="Harris, Fibertek"/>
    <n v="79"/>
    <n v="106"/>
    <n v="92.5"/>
    <x v="68"/>
    <x v="0"/>
  </r>
  <r>
    <s v="Data Engineer"/>
    <s v="79-106"/>
    <n v="4.4000000000000004"/>
    <s v="Rocket Lawyer"/>
    <s v="San Francisco, CA"/>
    <s v="San Francisco,CA"/>
    <x v="3"/>
    <n v="2008"/>
    <s v="Company - Private"/>
    <s v="Computer Hardware &amp; Software"/>
    <x v="3"/>
    <s v="$50 to $100 million (USD)"/>
    <n v="-1"/>
    <n v="79"/>
    <n v="106"/>
    <n v="92.5"/>
    <x v="29"/>
    <x v="1"/>
  </r>
  <r>
    <s v="Senior Data Scientist Вђ“ Image Analytics, Novartis Ai Innovation Lab"/>
    <s v="79-106"/>
    <n v="3.9"/>
    <s v="Novartis"/>
    <s v="Cambridge, MA"/>
    <s v="Basel,Switzerland"/>
    <x v="4"/>
    <n v="1996"/>
    <s v="Company - Public"/>
    <s v="Biotech &amp; Pharmaceuticals"/>
    <x v="4"/>
    <s v="$10+ billion (USD)"/>
    <n v="-1"/>
    <n v="79"/>
    <n v="106"/>
    <n v="92.5"/>
    <x v="6"/>
    <x v="0"/>
  </r>
  <r>
    <s v="Data Engineer"/>
    <s v="79-106"/>
    <n v="3.6"/>
    <s v="Alion Science &amp; Technology"/>
    <s v="Linthicum Heights, MD"/>
    <s v="Mc Lean,VA"/>
    <x v="0"/>
    <n v="2001"/>
    <s v="Company - Private"/>
    <s v="Research &amp; Development"/>
    <x v="1"/>
    <s v="$1 to $2 billion (USD)"/>
    <n v="-1"/>
    <n v="79"/>
    <n v="106"/>
    <n v="92.5"/>
    <x v="46"/>
    <x v="0"/>
  </r>
  <r>
    <s v="Data Science Instructor"/>
    <s v="79-106"/>
    <n v="4.5"/>
    <s v="Novetta"/>
    <s v="Herndon, VA"/>
    <s v="Mc Lean,VA"/>
    <x v="2"/>
    <n v="2012"/>
    <s v="Company - Private"/>
    <s v="Enterprise Software &amp; Network Solutions"/>
    <x v="3"/>
    <s v="$100 to $500 million (USD)"/>
    <s v="Leidos, CACI International, Booz Allen Hamilton"/>
    <n v="79"/>
    <n v="106"/>
    <n v="92.5"/>
    <x v="10"/>
    <x v="1"/>
  </r>
  <r>
    <s v="Senior Business Intelligence Analyst"/>
    <s v="79-106"/>
    <n v="3.7"/>
    <s v="Protolabs"/>
    <s v="Maple Plain, MN"/>
    <s v="Maple Plain,MN"/>
    <x v="0"/>
    <n v="1999"/>
    <s v="Company - Public"/>
    <s v="Miscellaneous Manufacturing"/>
    <x v="2"/>
    <s v="$100 to $500 million (USD)"/>
    <n v="-1"/>
    <n v="79"/>
    <n v="106"/>
    <n v="92.5"/>
    <x v="30"/>
    <x v="0"/>
  </r>
  <r>
    <s v="In-Line Inspection Data Analyst"/>
    <s v="79-106"/>
    <n v="2.9"/>
    <s v="Quest Integrity"/>
    <s v="Tulsa, OK"/>
    <s v="Kent,WA"/>
    <x v="5"/>
    <n v="1996"/>
    <s v="Company - Public"/>
    <s v="Oil &amp; Gas Services"/>
    <x v="6"/>
    <s v="$50 to $100 million (USD)"/>
    <n v="-1"/>
    <n v="79"/>
    <n v="106"/>
    <n v="92.5"/>
    <x v="6"/>
    <x v="0"/>
  </r>
  <r>
    <s v="Data Scientist - Ts/Sci Fsp Or Ci Required"/>
    <s v="79-106"/>
    <n v="5"/>
    <s v="Phoenix Operations Group"/>
    <s v="Annapolis Junction, MD"/>
    <s v="Woodbine,MD"/>
    <x v="6"/>
    <n v="2011"/>
    <s v="Company - Private"/>
    <s v="IT Services"/>
    <x v="3"/>
    <s v="$1 to $5 million (USD)"/>
    <n v="-1"/>
    <n v="79"/>
    <n v="106"/>
    <n v="92.5"/>
    <x v="20"/>
    <x v="1"/>
  </r>
  <r>
    <s v="Data Scientist"/>
    <s v="79-106"/>
    <n v="3.4"/>
    <s v="Dice.Com"/>
    <s v="Newton, MA"/>
    <s v="Denver,CO"/>
    <x v="5"/>
    <n v="1990"/>
    <s v="Subsidiary or Business Segment"/>
    <s v="Staffing &amp; Outsourcing"/>
    <x v="1"/>
    <s v="$100 to $500 million (USD)"/>
    <s v="Monster Worldwide, CareerBuilder, Craigslist"/>
    <n v="79"/>
    <n v="106"/>
    <n v="92.5"/>
    <x v="7"/>
    <x v="0"/>
  </r>
  <r>
    <s v="Senior Data Scientist"/>
    <s v="79-106"/>
    <n v="3.5"/>
    <s v="Maxar Technologies"/>
    <s v="Herndon, VA"/>
    <s v="Westminster,CO"/>
    <x v="1"/>
    <n v="-1"/>
    <s v="Company - Public"/>
    <s v="Aerospace &amp; Defense"/>
    <x v="10"/>
    <s v="$2 to $5 billion (USD)"/>
    <n v="-1"/>
    <n v="79"/>
    <n v="106"/>
    <n v="92.5"/>
    <x v="43"/>
    <x v="2"/>
  </r>
  <r>
    <s v="Data Scientist - Ts/Sci Required"/>
    <s v="79-106"/>
    <n v="5"/>
    <s v="Phoenix Operations Group"/>
    <s v="Baltimore, MD"/>
    <s v="Woodbine,MD"/>
    <x v="6"/>
    <n v="2011"/>
    <s v="Company - Private"/>
    <s v="IT Services"/>
    <x v="3"/>
    <s v="$1 to $5 million (USD)"/>
    <n v="-1"/>
    <n v="79"/>
    <n v="106"/>
    <n v="92.5"/>
    <x v="20"/>
    <x v="1"/>
  </r>
  <r>
    <s v="Data Science Software Engineer"/>
    <s v="79-106"/>
    <n v="4.8"/>
    <s v="Klaviyo"/>
    <s v="Boston, MA"/>
    <s v="Boston,MA"/>
    <x v="5"/>
    <n v="2012"/>
    <s v="Company - Private"/>
    <s v="Computer Hardware &amp; Software"/>
    <x v="3"/>
    <s v="Unknown / Non-Applicable"/>
    <n v="-1"/>
    <n v="79"/>
    <n v="106"/>
    <n v="92.5"/>
    <x v="10"/>
    <x v="1"/>
  </r>
  <r>
    <s v="Engineer - Computer Scientist - Research Computer Scientist - Signal Processing - San Antonio Or"/>
    <s v="79-106"/>
    <n v="3.9"/>
    <s v="Southwest Research Institute"/>
    <s v="Oklahoma City, OK"/>
    <s v="San Antonio,TX"/>
    <x v="0"/>
    <n v="1947"/>
    <s v="Nonprofit Organization"/>
    <s v="Research &amp; Development"/>
    <x v="1"/>
    <s v="$500 million to $1 billion (USD)"/>
    <s v="Los Alamos National Laboratory, Battelle, SRI International"/>
    <n v="79"/>
    <n v="106"/>
    <n v="92.5"/>
    <x v="69"/>
    <x v="0"/>
  </r>
  <r>
    <s v="Ai Ops Data Scientist"/>
    <s v="79-106"/>
    <n v="4"/>
    <s v="Astrazeneca"/>
    <s v="Gaithersburg, MD"/>
    <s v="Cambridge,United Kingdom"/>
    <x v="4"/>
    <n v="1913"/>
    <s v="Company - Public"/>
    <s v="Biotech &amp; Pharmaceuticals"/>
    <x v="4"/>
    <s v="$10+ billion (USD)"/>
    <s v="Roche, GlaxoSmithKline, Novartis"/>
    <n v="79"/>
    <n v="106"/>
    <n v="92.5"/>
    <x v="48"/>
    <x v="0"/>
  </r>
  <r>
    <s v="Intelligence Data Analyst, Senior"/>
    <s v="79-106"/>
    <n v="4.3"/>
    <s v="The Buffalo Group"/>
    <s v="Fort Belvoir, VA"/>
    <s v="Reston,VA"/>
    <x v="2"/>
    <n v="2010"/>
    <s v="Company - Private"/>
    <s v="IT Services"/>
    <x v="3"/>
    <s v="$100 to $500 million (USD)"/>
    <s v="ManTech, Booz Allen Hamilton, Leidos"/>
    <n v="79"/>
    <n v="106"/>
    <n v="92.5"/>
    <x v="5"/>
    <x v="1"/>
  </r>
  <r>
    <s v="Analytics Manager - Data Mart"/>
    <s v="79-106"/>
    <n v="3.5"/>
    <s v="Central California Alliance For Health"/>
    <s v="Scotts Valley, CA"/>
    <s v="Scotts Valley,CA"/>
    <x v="2"/>
    <n v="1996"/>
    <s v="Nonprofit Organization"/>
    <s v="Health Care Services &amp; Hospitals"/>
    <x v="8"/>
    <s v="$500 million to $1 billion (USD)"/>
    <n v="-1"/>
    <n v="79"/>
    <n v="106"/>
    <n v="92.5"/>
    <x v="6"/>
    <x v="0"/>
  </r>
  <r>
    <s v="Data Modeler (Analytical Systems)"/>
    <s v="79-106"/>
    <n v="3.7"/>
    <s v="Massmutual"/>
    <s v="Boston, MA"/>
    <s v="Springfield,MA"/>
    <x v="1"/>
    <n v="1851"/>
    <s v="Company - Private"/>
    <s v="Insurance Carriers"/>
    <x v="0"/>
    <s v="$10+ billion (USD)"/>
    <n v="-1"/>
    <n v="79"/>
    <n v="106"/>
    <n v="92.5"/>
    <x v="64"/>
    <x v="0"/>
  </r>
  <r>
    <s v="Senior Machine Learning Scientist - Bay Area, Ca"/>
    <s v="79-106"/>
    <n v="3.3"/>
    <s v="Tempus Labs"/>
    <s v="Redwood City, CA"/>
    <s v="Chicago,IL"/>
    <x v="2"/>
    <n v="2015"/>
    <s v="Company - Private"/>
    <s v="Biotech &amp; Pharmaceuticals"/>
    <x v="4"/>
    <s v="Unknown / Non-Applicable"/>
    <n v="-1"/>
    <n v="79"/>
    <n v="106"/>
    <n v="92.5"/>
    <x v="16"/>
    <x v="1"/>
  </r>
  <r>
    <s v="Report Writer-Data Analyst"/>
    <s v="79-106"/>
    <n v="3.1"/>
    <s v="Security Finance Corporation Of Spartanburg"/>
    <s v="Spartanburg, SC"/>
    <s v="Spartanburg,SC"/>
    <x v="0"/>
    <n v="1955"/>
    <s v="Company - Private"/>
    <s v="Lending"/>
    <x v="9"/>
    <s v="Unknown / Non-Applicable"/>
    <n v="-1"/>
    <n v="79"/>
    <n v="106"/>
    <n v="92.5"/>
    <x v="70"/>
    <x v="0"/>
  </r>
  <r>
    <s v="Data Scientist/Machine Learning"/>
    <s v="71-123"/>
    <n v="4.3"/>
    <s v="Pulsepoint"/>
    <s v="New York, NY"/>
    <s v="New York,NY"/>
    <x v="3"/>
    <n v="2011"/>
    <s v="Company - Private"/>
    <s v="Internet"/>
    <x v="3"/>
    <s v="$100 to $500 million (USD)"/>
    <s v="Crossix Solutions Inc., AppNexus, The Trade Desk"/>
    <n v="71"/>
    <n v="123"/>
    <n v="97"/>
    <x v="20"/>
    <x v="1"/>
  </r>
  <r>
    <s v="Data Scientist - Risk"/>
    <s v="71-123"/>
    <n v="4.2"/>
    <s v="Lsq"/>
    <s v="Orlando, FL"/>
    <s v="Orlando,FL"/>
    <x v="3"/>
    <n v="1996"/>
    <s v="Company - Private"/>
    <s v="Investment Banking &amp; Asset Management"/>
    <x v="9"/>
    <s v="$100 to $500 million (USD)"/>
    <n v="-1"/>
    <n v="71"/>
    <n v="123"/>
    <n v="97"/>
    <x v="6"/>
    <x v="0"/>
  </r>
  <r>
    <s v="Data Engineer"/>
    <s v="71-123"/>
    <n v="4.4000000000000004"/>
    <s v="Resurgent Capital Services"/>
    <s v="Cincinnati, OH"/>
    <s v="Greenville,SC"/>
    <x v="5"/>
    <n v="1998"/>
    <s v="Company - Private"/>
    <s v="Venture Capital &amp; Private Equity"/>
    <x v="9"/>
    <s v="$50 to $100 million (USD)"/>
    <n v="-1"/>
    <n v="71"/>
    <n v="123"/>
    <n v="97"/>
    <x v="4"/>
    <x v="0"/>
  </r>
  <r>
    <s v="Staff Data Scientist - Pricing"/>
    <s v="71-123"/>
    <n v="3.6"/>
    <s v="Opendoor"/>
    <s v="San Francisco, CA"/>
    <s v="San Francisco,CA"/>
    <x v="2"/>
    <n v="2014"/>
    <s v="Company - Private"/>
    <s v="Real Estate"/>
    <x v="15"/>
    <s v="$2 to $5 billion (USD)"/>
    <n v="-1"/>
    <n v="71"/>
    <n v="123"/>
    <n v="97"/>
    <x v="9"/>
    <x v="1"/>
  </r>
  <r>
    <s v="Data Scientist"/>
    <s v="71-123"/>
    <n v="4.5"/>
    <s v="Global Data Management Inc"/>
    <s v="Hartford, CT"/>
    <s v="Woodbridge,NJ"/>
    <x v="3"/>
    <n v="2008"/>
    <s v="Company - Private"/>
    <s v="IT Services"/>
    <x v="3"/>
    <s v="$5 to $10 million (USD)"/>
    <n v="-1"/>
    <n v="71"/>
    <n v="123"/>
    <n v="97"/>
    <x v="29"/>
    <x v="1"/>
  </r>
  <r>
    <s v="Data Scientist"/>
    <s v="71-123"/>
    <n v="3"/>
    <s v="Photon Infotech"/>
    <s v="Chicago, IL"/>
    <s v="Chennai,India"/>
    <x v="0"/>
    <n v="1999"/>
    <s v="Company - Private"/>
    <s v="IT Services"/>
    <x v="3"/>
    <s v="$100 to $500 million (USD)"/>
    <n v="-1"/>
    <n v="71"/>
    <n v="123"/>
    <n v="97"/>
    <x v="30"/>
    <x v="0"/>
  </r>
  <r>
    <s v="Data Scientist"/>
    <s v="71-123"/>
    <n v="5"/>
    <s v="Ree"/>
    <s v="United States"/>
    <s v="Tel Aviv-Yafo,Israel"/>
    <x v="3"/>
    <n v="2018"/>
    <s v="Company - Private"/>
    <s v="Transportation Equipment Manufacturing"/>
    <x v="2"/>
    <s v="Unknown / Non-Applicable"/>
    <n v="-1"/>
    <n v="71"/>
    <n v="123"/>
    <n v="97"/>
    <x v="71"/>
    <x v="2"/>
  </r>
  <r>
    <s v="Machine Learning Engineer"/>
    <s v="71-123"/>
    <n v="3.6"/>
    <s v="Riverside Research Institute"/>
    <s v="Beavercreek, OH"/>
    <s v="Arlington,VA"/>
    <x v="2"/>
    <n v="1967"/>
    <s v="Nonprofit Organization"/>
    <s v="Federal Agencies"/>
    <x v="7"/>
    <s v="$50 to $100 million (USD)"/>
    <n v="-1"/>
    <n v="71"/>
    <n v="123"/>
    <n v="97"/>
    <x v="21"/>
    <x v="0"/>
  </r>
  <r>
    <s v="Equity Data Insights Analyst - Quantitative Analyst"/>
    <s v="71-123"/>
    <n v="3.6"/>
    <s v="T. Rowe Price"/>
    <s v="Baltimore, MD"/>
    <s v="Baltimore,MD"/>
    <x v="1"/>
    <n v="1937"/>
    <s v="Company - Public"/>
    <s v="Investment Banking &amp; Asset Management"/>
    <x v="9"/>
    <s v="$2 to $5 billion (USD)"/>
    <n v="-1"/>
    <n v="71"/>
    <n v="123"/>
    <n v="97"/>
    <x v="72"/>
    <x v="0"/>
  </r>
  <r>
    <s v="Data Scientist"/>
    <s v="71-123"/>
    <n v="-1"/>
    <s v="Encode, Inc"/>
    <s v="Norfolk, VA"/>
    <s v="Manalapan,NJ"/>
    <x v="6"/>
    <n v="-1"/>
    <s v="Company - Private"/>
    <s v="IT Services"/>
    <x v="3"/>
    <s v="$5 to $10 million (USD)"/>
    <n v="-1"/>
    <n v="71"/>
    <n v="123"/>
    <n v="97"/>
    <x v="43"/>
    <x v="2"/>
  </r>
  <r>
    <s v="Research Scientist - Patient-Centered Research (Remote)"/>
    <s v="71-123"/>
    <n v="3.8"/>
    <s v="Evidera"/>
    <s v="Bethesda, MD"/>
    <s v="Bethesda,MD"/>
    <x v="2"/>
    <n v="2013"/>
    <s v="Subsidiary or Business Segment"/>
    <s v="Biotech &amp; Pharmaceuticals"/>
    <x v="4"/>
    <s v="$100 to $500 million (USD)"/>
    <s v="IQVIA, ICON"/>
    <n v="71"/>
    <n v="123"/>
    <n v="97"/>
    <x v="35"/>
    <x v="1"/>
  </r>
  <r>
    <s v="Data Scientist"/>
    <s v="71-123"/>
    <n v="3.3"/>
    <s v="Bwx Technologies"/>
    <s v="Oak Ridge, TN"/>
    <s v="Lynchburg,VA"/>
    <x v="1"/>
    <n v="1850"/>
    <s v="Company - Public"/>
    <s v="Aerospace &amp; Defense"/>
    <x v="10"/>
    <s v="$500 million to $1 billion (USD)"/>
    <n v="-1"/>
    <n v="71"/>
    <n v="123"/>
    <n v="97"/>
    <x v="63"/>
    <x v="0"/>
  </r>
  <r>
    <s v="Operations Data Analyst"/>
    <s v="71-123"/>
    <n v="3.8"/>
    <s v="Brighthouse Financial"/>
    <s v="Charlotte, NC"/>
    <s v="Charlotte,NC"/>
    <x v="0"/>
    <n v="2017"/>
    <s v="Company - Public"/>
    <s v="Insurance Carriers"/>
    <x v="0"/>
    <s v="Unknown / Non-Applicable"/>
    <n v="-1"/>
    <n v="71"/>
    <n v="123"/>
    <n v="97"/>
    <x v="19"/>
    <x v="2"/>
  </r>
  <r>
    <s v="Sr. Data Scientist Ii"/>
    <s v="71-123"/>
    <n v="3.5"/>
    <s v="Argo Group Us"/>
    <s v="New York, NY"/>
    <s v="Hamilton,Bermuda"/>
    <x v="0"/>
    <n v="1948"/>
    <s v="Company - Public"/>
    <s v="Insurance Carriers"/>
    <x v="0"/>
    <s v="$1 to $2 billion (USD)"/>
    <n v="-1"/>
    <n v="71"/>
    <n v="123"/>
    <n v="97"/>
    <x v="62"/>
    <x v="0"/>
  </r>
  <r>
    <s v="Data Scientist"/>
    <s v="71-123"/>
    <n v="3.3"/>
    <s v="Ii-Vi Incorporated"/>
    <s v="Champaign, IL"/>
    <s v="Saxonburg,PA"/>
    <x v="4"/>
    <n v="1971"/>
    <s v="Company - Public"/>
    <s v="Telecommunications Manufacturing"/>
    <x v="14"/>
    <s v="$1 to $2 billion (USD)"/>
    <s v="Lumentum Operations, Keysight Technologies, O-Net Technologies"/>
    <n v="71"/>
    <n v="123"/>
    <n v="97"/>
    <x v="49"/>
    <x v="0"/>
  </r>
  <r>
    <s v="Data Scientist"/>
    <s v="71-123"/>
    <n v="4.5999999999999996"/>
    <s v="Surya Systems"/>
    <s v="San Francisco, CA"/>
    <s v="Bristol,PA"/>
    <x v="6"/>
    <n v="-1"/>
    <s v="Company - Private"/>
    <s v="Computer Hardware &amp; Software"/>
    <x v="3"/>
    <s v="Less than $1 million (USD)"/>
    <n v="-1"/>
    <n v="71"/>
    <n v="123"/>
    <n v="97"/>
    <x v="43"/>
    <x v="2"/>
  </r>
  <r>
    <s v="Data Scientist"/>
    <s v="71-123"/>
    <n v="3.8"/>
    <s v="Paypal"/>
    <s v="Texas"/>
    <s v="San Jose,CA"/>
    <x v="4"/>
    <n v="1998"/>
    <s v="Company - Public"/>
    <s v="Internet"/>
    <x v="3"/>
    <s v="$10+ billion (USD)"/>
    <s v="Square, Amazon, Apple"/>
    <n v="71"/>
    <n v="123"/>
    <n v="97"/>
    <x v="4"/>
    <x v="0"/>
  </r>
  <r>
    <s v="Senior Data Analyst"/>
    <s v="71-123"/>
    <n v="3.9"/>
    <s v="Life"/>
    <s v="San Francisco, CA"/>
    <s v="San Francisco,CA"/>
    <x v="3"/>
    <n v="2008"/>
    <s v="Company - Public"/>
    <s v="Internet"/>
    <x v="3"/>
    <s v="Unknown / Non-Applicable"/>
    <n v="-1"/>
    <n v="71"/>
    <n v="123"/>
    <n v="97"/>
    <x v="29"/>
    <x v="1"/>
  </r>
  <r>
    <s v="Data Scientist"/>
    <s v="71-123"/>
    <n v="3.9"/>
    <s v="Predictive Research Inc"/>
    <s v="Plano, TX"/>
    <s v="Bangalore,India"/>
    <x v="6"/>
    <n v="-1"/>
    <s v="Company - Private"/>
    <s v="Consulting"/>
    <x v="1"/>
    <s v="Unknown / Non-Applicable"/>
    <n v="-1"/>
    <n v="71"/>
    <n v="123"/>
    <n v="97"/>
    <x v="43"/>
    <x v="2"/>
  </r>
  <r>
    <s v="Data Scientist"/>
    <s v="90-124"/>
    <n v="4.7"/>
    <s v="Oversight Systems"/>
    <s v="Atlanta, GA"/>
    <s v="Atlanta,GA"/>
    <x v="3"/>
    <n v="2003"/>
    <s v="Company - Private"/>
    <s v="Computer Hardware &amp; Software"/>
    <x v="3"/>
    <s v="$25 to $50 million (USD)"/>
    <n v="-1"/>
    <n v="90"/>
    <n v="124"/>
    <n v="107"/>
    <x v="24"/>
    <x v="0"/>
  </r>
  <r>
    <s v="Senior Research Statistician- Data Scientist"/>
    <s v="90-124"/>
    <n v="4.8"/>
    <s v="Acuity Insurance"/>
    <s v="Sheboygan, WI"/>
    <s v="Sheboygan,WI"/>
    <x v="0"/>
    <n v="1925"/>
    <s v="Company - Private"/>
    <s v="Insurance Carriers"/>
    <x v="0"/>
    <s v="$1 to $2 billion (USD)"/>
    <n v="-1"/>
    <n v="90"/>
    <n v="124"/>
    <n v="107"/>
    <x v="28"/>
    <x v="0"/>
  </r>
  <r>
    <s v="Software Data Engineer"/>
    <s v="90-124"/>
    <n v="3.1"/>
    <s v="1010Data"/>
    <s v="New York, NY"/>
    <s v="New York,NY"/>
    <x v="5"/>
    <n v="2000"/>
    <s v="Company - Private"/>
    <s v="Computer Hardware &amp; Software"/>
    <x v="3"/>
    <s v="$50 to $100 million (USD)"/>
    <n v="-1"/>
    <n v="90"/>
    <n v="124"/>
    <n v="107"/>
    <x v="3"/>
    <x v="0"/>
  </r>
  <r>
    <s v="Data Scientist"/>
    <s v="90-124"/>
    <n v="3.6"/>
    <s v="Gigya"/>
    <s v="Palo Alto, CA"/>
    <s v="Mountain View,CA"/>
    <x v="5"/>
    <n v="2006"/>
    <s v="Company - Private"/>
    <s v="Enterprise Software &amp; Network Solutions"/>
    <x v="3"/>
    <s v="$10 to $25 million (USD)"/>
    <n v="-1"/>
    <n v="90"/>
    <n v="124"/>
    <n v="107"/>
    <x v="39"/>
    <x v="1"/>
  </r>
  <r>
    <s v="Real World Evidence (Rwe) Scientist"/>
    <s v="90-124"/>
    <n v="5"/>
    <s v="Genesis Research"/>
    <s v="Hoboken, NJ"/>
    <s v="Hoboken,NJ"/>
    <x v="6"/>
    <n v="2009"/>
    <s v="Company - Private"/>
    <s v="Biotech &amp; Pharmaceuticals"/>
    <x v="4"/>
    <s v="Unknown / Non-Applicable"/>
    <n v="-1"/>
    <n v="90"/>
    <n v="124"/>
    <n v="107"/>
    <x v="51"/>
    <x v="1"/>
  </r>
  <r>
    <s v="Data Scientist"/>
    <s v="90-124"/>
    <n v="3.7"/>
    <s v="Sanofi"/>
    <s v="Cambridge, MA"/>
    <s v="Paris,France"/>
    <x v="4"/>
    <n v="1973"/>
    <s v="Company - Public"/>
    <s v="Biotech &amp; Pharmaceuticals"/>
    <x v="4"/>
    <s v="$10+ billion (USD)"/>
    <s v="Pfizer, GlaxoSmithKline"/>
    <n v="90"/>
    <n v="124"/>
    <n v="107"/>
    <x v="13"/>
    <x v="0"/>
  </r>
  <r>
    <s v="Data Scientist"/>
    <s v="90-124"/>
    <n v="3.7"/>
    <s v="Xpo Logistics"/>
    <s v="Lebanon, IN"/>
    <s v="Greenwich,CT"/>
    <x v="4"/>
    <n v="2011"/>
    <s v="Company - Public"/>
    <s v="Transportation Management"/>
    <x v="12"/>
    <s v="$10+ billion (USD)"/>
    <s v="DHL Supply Chain, UPS, FedEx"/>
    <n v="90"/>
    <n v="124"/>
    <n v="107"/>
    <x v="20"/>
    <x v="1"/>
  </r>
  <r>
    <s v="Data Scientist"/>
    <s v="90-124"/>
    <n v="3.9"/>
    <s v="Trace Data"/>
    <s v="Oakland, CA"/>
    <s v="Santa Ana,CA"/>
    <x v="3"/>
    <n v="2000"/>
    <s v="Company - Private"/>
    <s v="Insurance Carriers"/>
    <x v="0"/>
    <s v="$10 to $25 million (USD)"/>
    <n v="-1"/>
    <n v="90"/>
    <n v="124"/>
    <n v="107"/>
    <x v="3"/>
    <x v="0"/>
  </r>
  <r>
    <s v="Data Scientist"/>
    <s v="90-124"/>
    <n v="4.3"/>
    <s v="Descript"/>
    <s v="San Francisco, CA"/>
    <s v="Houston,TX"/>
    <x v="6"/>
    <n v="-1"/>
    <s v="Company - Private"/>
    <s v="-1"/>
    <x v="11"/>
    <s v="Less than $1 million (USD)"/>
    <n v="-1"/>
    <n v="90"/>
    <n v="124"/>
    <n v="107"/>
    <x v="43"/>
    <x v="2"/>
  </r>
  <r>
    <s v="Computer Scientist 1"/>
    <s v="90-124"/>
    <n v="4.2"/>
    <s v="Rincon Research Corporation"/>
    <s v="Melbourne, FL"/>
    <s v="Tucson,AZ"/>
    <x v="5"/>
    <n v="1983"/>
    <s v="Company - Private"/>
    <s v="Aerospace &amp; Defense"/>
    <x v="10"/>
    <s v="$50 to $100 million (USD)"/>
    <s v="Raytheon Technologies, General Dynamics, MIT Lincoln Laboratory"/>
    <n v="90"/>
    <n v="124"/>
    <n v="107"/>
    <x v="8"/>
    <x v="0"/>
  </r>
  <r>
    <s v="Lead Data Scientist"/>
    <s v="90-124"/>
    <n v="3.7"/>
    <s v="Massmutual"/>
    <s v="Boston, MA"/>
    <s v="Springfield,MA"/>
    <x v="1"/>
    <n v="1851"/>
    <s v="Company - Private"/>
    <s v="Insurance Carriers"/>
    <x v="0"/>
    <s v="$10+ billion (USD)"/>
    <n v="-1"/>
    <n v="90"/>
    <n v="124"/>
    <n v="107"/>
    <x v="64"/>
    <x v="0"/>
  </r>
  <r>
    <s v="Data Scientist"/>
    <s v="90-124"/>
    <n v="4"/>
    <s v="Better Hire"/>
    <s v="Birmingham, AL"/>
    <s v="Birmingham,AL"/>
    <x v="6"/>
    <n v="-1"/>
    <s v="Company - Private"/>
    <s v="-1"/>
    <x v="11"/>
    <s v="Unknown / Non-Applicable"/>
    <n v="-1"/>
    <n v="90"/>
    <n v="124"/>
    <n v="107"/>
    <x v="43"/>
    <x v="2"/>
  </r>
  <r>
    <s v="Data Scientist"/>
    <s v="90-124"/>
    <n v="3.3"/>
    <s v="Parker Hannifin"/>
    <s v="Cleveland, OH"/>
    <s v="Cleveland,OH"/>
    <x v="4"/>
    <n v="1917"/>
    <s v="Company - Public"/>
    <s v="Industrial Manufacturing"/>
    <x v="2"/>
    <s v="$10+ billion (USD)"/>
    <s v="Eaton, SMC Corporation, Bosch Rexroth"/>
    <n v="90"/>
    <n v="124"/>
    <n v="107"/>
    <x v="73"/>
    <x v="0"/>
  </r>
  <r>
    <s v="Data Scientist"/>
    <s v="90-124"/>
    <n v="4.0999999999999996"/>
    <s v="Gallup"/>
    <s v="New York, NY"/>
    <s v="Washington,DC"/>
    <x v="0"/>
    <n v="1935"/>
    <s v="Company - Private"/>
    <s v="Consulting"/>
    <x v="1"/>
    <s v="Unknown / Non-Applicable"/>
    <s v="Advisory Board, Booz Allen Hamilton, McKinsey &amp; Company"/>
    <n v="90"/>
    <n v="124"/>
    <n v="107"/>
    <x v="74"/>
    <x v="0"/>
  </r>
  <r>
    <s v="Data Scientist"/>
    <s v="90-124"/>
    <n v="3.3"/>
    <s v="Insider Inc"/>
    <s v="New York, NY"/>
    <s v="New York,NY"/>
    <x v="5"/>
    <n v="2007"/>
    <s v="Company - Private"/>
    <s v="News Outlet"/>
    <x v="13"/>
    <s v="$50 to $100 million (USD)"/>
    <n v="-1"/>
    <n v="90"/>
    <n v="124"/>
    <n v="107"/>
    <x v="53"/>
    <x v="1"/>
  </r>
  <r>
    <s v="Data Scientist"/>
    <s v="90-124"/>
    <n v="3.9"/>
    <s v="Rapid Value Solutions"/>
    <s v="San Francisco, CA"/>
    <s v="Pleasanton,CA"/>
    <x v="5"/>
    <n v="2009"/>
    <s v="Company - Private"/>
    <s v="IT Services"/>
    <x v="3"/>
    <s v="Unknown / Non-Applicable"/>
    <n v="-1"/>
    <n v="90"/>
    <n v="124"/>
    <n v="107"/>
    <x v="51"/>
    <x v="1"/>
  </r>
  <r>
    <s v="Environmental Data Science"/>
    <s v="90-124"/>
    <n v="3.1"/>
    <s v="Battelle"/>
    <s v="Norwell, MA"/>
    <s v="Columbus,OH"/>
    <x v="4"/>
    <n v="1929"/>
    <s v="Nonprofit Organization"/>
    <s v="Research &amp; Development"/>
    <x v="1"/>
    <s v="$5 to $10 billion (USD)"/>
    <n v="-1"/>
    <n v="90"/>
    <n v="124"/>
    <n v="107"/>
    <x v="75"/>
    <x v="0"/>
  </r>
  <r>
    <s v="Computational Behavioral Scientist"/>
    <s v="90-124"/>
    <n v="4.2"/>
    <s v="Ntrepid"/>
    <s v="Herndon, VA"/>
    <s v="Herndon,VA"/>
    <x v="5"/>
    <n v="2010"/>
    <s v="Company - Private"/>
    <s v="IT Services"/>
    <x v="3"/>
    <s v="$50 to $100 million (USD)"/>
    <s v="Bromium, FireEye, Authentic8"/>
    <n v="90"/>
    <n v="124"/>
    <n v="107"/>
    <x v="5"/>
    <x v="1"/>
  </r>
  <r>
    <s v="Data Scientist"/>
    <s v="90-124"/>
    <n v="5"/>
    <s v="The Drive Media, Inc"/>
    <s v="New York, NY"/>
    <n v="-1"/>
    <x v="8"/>
    <n v="-1"/>
    <s v="Unknown"/>
    <s v="-1"/>
    <x v="11"/>
    <s v="Unknown / Non-Applicable"/>
    <n v="-1"/>
    <n v="90"/>
    <n v="124"/>
    <n v="107"/>
    <x v="43"/>
    <x v="2"/>
  </r>
  <r>
    <s v="Staff Bi And Data Engineer"/>
    <s v="90-124"/>
    <n v="2.9"/>
    <s v="Affinity Solutions"/>
    <s v="San Jose, CA"/>
    <s v="New York,NY"/>
    <x v="3"/>
    <n v="1998"/>
    <s v="Company - Private"/>
    <s v="Advertising &amp; Marketing"/>
    <x v="1"/>
    <s v="Unknown / Non-Applicable"/>
    <s v="Commerce Signals, Cardlytics, Yodlee"/>
    <n v="90"/>
    <n v="124"/>
    <n v="107"/>
    <x v="4"/>
    <x v="0"/>
  </r>
  <r>
    <s v="Principal Machine Learning Scientist"/>
    <s v="90-124"/>
    <n v="4.7"/>
    <s v="Sage Intacct"/>
    <s v="San Francisco, CA"/>
    <s v="San Jose,CA"/>
    <x v="2"/>
    <n v="1999"/>
    <s v="Subsidiary or Business Segment"/>
    <s v="Computer Hardware &amp; Software"/>
    <x v="3"/>
    <s v="Unknown / Non-Applicable"/>
    <n v="-1"/>
    <n v="90"/>
    <n v="124"/>
    <n v="107"/>
    <x v="30"/>
    <x v="0"/>
  </r>
  <r>
    <s v="Principal Data Scientist - Machine Learning"/>
    <s v="90-124"/>
    <n v="3.6"/>
    <s v="Constant Contact"/>
    <s v="Waltham, MA"/>
    <s v="Waltham,MA"/>
    <x v="8"/>
    <n v="1995"/>
    <s v="Subsidiary or Business Segment"/>
    <s v="Advertising &amp; Marketing"/>
    <x v="1"/>
    <s v="Unknown / Non-Applicable"/>
    <s v="Drip, iContact, Mailchimp"/>
    <n v="90"/>
    <n v="124"/>
    <n v="107"/>
    <x v="42"/>
    <x v="0"/>
  </r>
  <r>
    <s v="Data Scientist-Human Resources"/>
    <s v="91-150"/>
    <n v="3.8"/>
    <s v="Mit Lincoln Laboratory"/>
    <s v="Lexington, MA"/>
    <s v="Lexington,MA"/>
    <x v="0"/>
    <n v="1951"/>
    <s v="Nonprofit Organization"/>
    <s v="Aerospace &amp; Defense"/>
    <x v="10"/>
    <s v="Unknown / Non-Applicable"/>
    <n v="-1"/>
    <n v="91"/>
    <n v="150"/>
    <n v="120.5"/>
    <x v="25"/>
    <x v="0"/>
  </r>
  <r>
    <s v="Associate Data Scientist"/>
    <s v="91-150"/>
    <n v="3.3"/>
    <s v="Puget Sound Energy"/>
    <s v="Bothell, WA"/>
    <s v="Bellevue,WA"/>
    <x v="0"/>
    <n v="1999"/>
    <s v="Company - Private"/>
    <s v="Utilities"/>
    <x v="6"/>
    <s v="$2 to $5 billion (USD)"/>
    <n v="-1"/>
    <n v="91"/>
    <n v="150"/>
    <n v="120.5"/>
    <x v="30"/>
    <x v="0"/>
  </r>
  <r>
    <s v="Data Scientist - Statistics, Mid-Career"/>
    <s v="91-150"/>
    <n v="3.7"/>
    <s v="Pacific Northwest National Laboratory"/>
    <s v="Richland, WA"/>
    <s v="Richland,WA"/>
    <x v="0"/>
    <n v="1965"/>
    <s v="Government"/>
    <s v="Energy"/>
    <x v="6"/>
    <s v="$500 million to $1 billion (USD)"/>
    <s v="Oak Ridge National Laboratory, National Renewable Energy Lab, Los Alamos National Laboratory"/>
    <n v="91"/>
    <n v="150"/>
    <n v="120.5"/>
    <x v="12"/>
    <x v="0"/>
  </r>
  <r>
    <s v="Director Of Data Science"/>
    <s v="91-150"/>
    <n v="3.8"/>
    <s v="Analysis Group"/>
    <s v="Boston, MA"/>
    <s v="Boston,MA"/>
    <x v="0"/>
    <n v="1981"/>
    <s v="Private Practice / Firm"/>
    <s v="Consulting"/>
    <x v="1"/>
    <s v="$100 to $500 million (USD)"/>
    <n v="-1"/>
    <n v="91"/>
    <n v="150"/>
    <n v="120.5"/>
    <x v="2"/>
    <x v="0"/>
  </r>
  <r>
    <s v="Data Scientist"/>
    <s v="91-150"/>
    <n v="3.2"/>
    <s v="Us Pharmacopeia"/>
    <s v="Rockville, MD"/>
    <s v="Rockville,MD"/>
    <x v="0"/>
    <n v="1820"/>
    <s v="Nonprofit Organization"/>
    <s v="Biotech &amp; Pharmaceuticals"/>
    <x v="4"/>
    <s v="$100 to $500 million (USD)"/>
    <n v="-1"/>
    <n v="91"/>
    <n v="150"/>
    <n v="120.5"/>
    <x v="76"/>
    <x v="0"/>
  </r>
  <r>
    <s v="Data Scientist"/>
    <s v="91-150"/>
    <n v="4.5999999999999996"/>
    <s v="Itlize Global"/>
    <s v="Piscataway, NJ"/>
    <s v="Piscataway,NJ"/>
    <x v="5"/>
    <n v="2010"/>
    <s v="Company - Private"/>
    <s v="IT Services"/>
    <x v="3"/>
    <s v="$10 to $25 million (USD)"/>
    <n v="-1"/>
    <n v="91"/>
    <n v="150"/>
    <n v="120.5"/>
    <x v="5"/>
    <x v="1"/>
  </r>
  <r>
    <s v="Data Scientist"/>
    <s v="91-150"/>
    <n v="3.5"/>
    <s v="Ebay"/>
    <s v="San Jose, CA"/>
    <s v="San Jose,CA"/>
    <x v="4"/>
    <n v="1995"/>
    <s v="Company - Public"/>
    <s v="Internet"/>
    <x v="3"/>
    <s v="$10+ billion (USD)"/>
    <s v="Amazon, Apple"/>
    <n v="91"/>
    <n v="150"/>
    <n v="120.5"/>
    <x v="42"/>
    <x v="0"/>
  </r>
  <r>
    <s v="Data Engineer, Digital &amp; Comp Pathology"/>
    <s v="91-150"/>
    <n v="5"/>
    <s v="Paige"/>
    <s v="New York, NY"/>
    <s v="New York,NY"/>
    <x v="6"/>
    <n v="2018"/>
    <s v="Company - Private"/>
    <s v="Enterprise Software &amp; Network Solutions"/>
    <x v="3"/>
    <s v="Unknown / Non-Applicable"/>
    <n v="-1"/>
    <n v="91"/>
    <n v="150"/>
    <n v="120.5"/>
    <x v="71"/>
    <x v="2"/>
  </r>
  <r>
    <s v="Data Engineer"/>
    <s v="91-150"/>
    <n v="4.0999999999999996"/>
    <s v="Shape Security"/>
    <s v="Santa Clara, CA"/>
    <s v="Mountain View,CA"/>
    <x v="3"/>
    <n v="2011"/>
    <s v="Company - Private"/>
    <s v="IT Services"/>
    <x v="3"/>
    <s v="Unknown / Non-Applicable"/>
    <n v="-1"/>
    <n v="91"/>
    <n v="150"/>
    <n v="120.5"/>
    <x v="20"/>
    <x v="1"/>
  </r>
  <r>
    <s v="Manager / Lead, Data Science &amp; Analytics"/>
    <s v="91-150"/>
    <n v="4.0999999999999996"/>
    <s v="Abiomed"/>
    <s v="Danvers, MA"/>
    <s v="Danvers,MA"/>
    <x v="0"/>
    <n v="1981"/>
    <s v="Company - Public"/>
    <s v="Biotech &amp; Pharmaceuticals"/>
    <x v="4"/>
    <s v="$100 to $500 million (USD)"/>
    <s v="Covidien, Boston Scientific"/>
    <n v="91"/>
    <n v="150"/>
    <n v="120.5"/>
    <x v="2"/>
    <x v="0"/>
  </r>
  <r>
    <s v="Data Scientist"/>
    <s v="91-150"/>
    <n v="3.5"/>
    <s v="Comcast"/>
    <s v="New York, NY"/>
    <s v="Philadelphia,PA"/>
    <x v="4"/>
    <n v="1963"/>
    <s v="Company - Public"/>
    <s v="-1"/>
    <x v="11"/>
    <s v="$10+ billion (USD)"/>
    <s v="AT&amp;T, Verizon"/>
    <n v="91"/>
    <n v="150"/>
    <n v="120.5"/>
    <x v="57"/>
    <x v="0"/>
  </r>
  <r>
    <s v="Data Scientist"/>
    <s v="91-150"/>
    <n v="3.2"/>
    <s v="Metronome, Llc"/>
    <s v="Vienna, VA"/>
    <s v="Fairfax,VA"/>
    <x v="3"/>
    <n v="2011"/>
    <s v="Company - Private"/>
    <s v="IT Services"/>
    <x v="3"/>
    <s v="$10 to $25 million (USD)"/>
    <n v="-1"/>
    <n v="91"/>
    <n v="150"/>
    <n v="120.5"/>
    <x v="20"/>
    <x v="1"/>
  </r>
  <r>
    <s v="Data Scientist"/>
    <s v="91-150"/>
    <n v="5"/>
    <s v="Skillsoniq"/>
    <s v="San Francisco, CA"/>
    <s v="Jersey City,NJ"/>
    <x v="8"/>
    <n v="-1"/>
    <s v="Company - Public"/>
    <s v="-1"/>
    <x v="11"/>
    <s v="Unknown / Non-Applicable"/>
    <n v="-1"/>
    <n v="91"/>
    <n v="150"/>
    <n v="120.5"/>
    <x v="43"/>
    <x v="2"/>
  </r>
  <r>
    <s v="Data Scientist"/>
    <s v="91-150"/>
    <n v="4.7"/>
    <s v="Lawrence Livermore National Lab"/>
    <s v="Livermore, CA"/>
    <s v="Livermore,CA"/>
    <x v="0"/>
    <n v="1952"/>
    <s v="Government"/>
    <s v="Federal Agencies"/>
    <x v="7"/>
    <s v="$1 to $2 billion (USD)"/>
    <s v="Los Alamos National Laboratory, NASA Jet Propulsion Laboratory, Sandia National Laboratories"/>
    <n v="91"/>
    <n v="150"/>
    <n v="120.5"/>
    <x v="77"/>
    <x v="0"/>
  </r>
  <r>
    <s v="Diversity And Inclusion Data Analyst"/>
    <s v="91-150"/>
    <n v="3.8"/>
    <s v="Fhlbank Pittsburgh"/>
    <s v="Pittsburgh, PA"/>
    <s v="Pittsburgh,PA"/>
    <x v="5"/>
    <n v="1932"/>
    <s v="Company - Private"/>
    <s v="Banks &amp; Credit Unions"/>
    <x v="9"/>
    <s v="$1 to $2 billion (USD)"/>
    <n v="-1"/>
    <n v="91"/>
    <n v="150"/>
    <n v="120.5"/>
    <x v="78"/>
    <x v="0"/>
  </r>
  <r>
    <s v="Data Scientist"/>
    <s v="91-150"/>
    <n v="3.6"/>
    <s v="Jacobs"/>
    <s v="Herndon, VA"/>
    <s v="Dallas,TX"/>
    <x v="4"/>
    <n v="1947"/>
    <s v="Company - Public"/>
    <s v="Architectural &amp; Engineering Services"/>
    <x v="1"/>
    <s v="$10+ billion (USD)"/>
    <s v="Fluor, Bechtel, AECOM"/>
    <n v="91"/>
    <n v="150"/>
    <n v="120.5"/>
    <x v="69"/>
    <x v="0"/>
  </r>
  <r>
    <s v="Data Scientist"/>
    <s v="91-150"/>
    <n v="4.8"/>
    <s v="Klaviyo"/>
    <s v="Boston, MA"/>
    <s v="Boston,MA"/>
    <x v="5"/>
    <n v="2012"/>
    <s v="Company - Private"/>
    <s v="Computer Hardware &amp; Software"/>
    <x v="3"/>
    <s v="Unknown / Non-Applicable"/>
    <n v="-1"/>
    <n v="91"/>
    <n v="150"/>
    <n v="120.5"/>
    <x v="10"/>
    <x v="1"/>
  </r>
  <r>
    <s v="Data Scientist"/>
    <s v="91-150"/>
    <n v="3.3"/>
    <s v="Underwriters Laboratories"/>
    <s v="Northbrook, IL"/>
    <s v="Northbrook,IL"/>
    <x v="4"/>
    <n v="1894"/>
    <s v="Company - Private"/>
    <s v="Consulting"/>
    <x v="1"/>
    <s v="$2 to $5 billion (USD)"/>
    <s v="Intertek, SGS, Bureau Veritas"/>
    <n v="91"/>
    <n v="150"/>
    <n v="120.5"/>
    <x v="79"/>
    <x v="0"/>
  </r>
  <r>
    <s v="Data Scientist"/>
    <s v="91-150"/>
    <n v="3.7"/>
    <s v="Altus Group"/>
    <s v="Irvine, CA"/>
    <s v="Toronto,Canada"/>
    <x v="0"/>
    <n v="2005"/>
    <s v="Company - Public"/>
    <s v="Real Estate"/>
    <x v="15"/>
    <s v="$100 to $500 million (USD)"/>
    <n v="-1"/>
    <n v="91"/>
    <n v="150"/>
    <n v="120.5"/>
    <x v="26"/>
    <x v="0"/>
  </r>
  <r>
    <s v="Data Scientist"/>
    <s v="91-150"/>
    <n v="5"/>
    <s v="Jobot"/>
    <s v="Irvine, CA"/>
    <s v="Irvine,CA"/>
    <x v="3"/>
    <n v="2018"/>
    <s v="Company - Private"/>
    <s v="Staffing &amp; Outsourcing"/>
    <x v="1"/>
    <s v="$25 to $50 million (USD)"/>
    <n v="-1"/>
    <n v="91"/>
    <n v="150"/>
    <n v="120.5"/>
    <x v="71"/>
    <x v="2"/>
  </r>
  <r>
    <s v="Data Scientist"/>
    <s v="91-150"/>
    <n v="-1"/>
    <s v="Trovetechs Inc"/>
    <s v="San Francisco, CA"/>
    <s v="Hillsborough,NJ"/>
    <x v="8"/>
    <n v="-1"/>
    <s v="Company - Private"/>
    <s v="-1"/>
    <x v="11"/>
    <s v="Unknown / Non-Applicable"/>
    <n v="-1"/>
    <n v="91"/>
    <n v="150"/>
    <n v="120.5"/>
    <x v="43"/>
    <x v="2"/>
  </r>
  <r>
    <s v="Senior Analyst/Data Scientist"/>
    <s v="141-225"/>
    <n v="3.4"/>
    <s v="Edmunds.Com"/>
    <s v="Santa Monica, CA"/>
    <s v="Santa Monica,CA"/>
    <x v="2"/>
    <n v="1966"/>
    <s v="Company - Private"/>
    <s v="Internet"/>
    <x v="3"/>
    <s v="$100 to $500 million (USD)"/>
    <s v="TrueCar, Cars.com, Kelley Blue Book"/>
    <n v="141"/>
    <n v="225"/>
    <n v="183"/>
    <x v="32"/>
    <x v="0"/>
  </r>
  <r>
    <s v="Data Scientist"/>
    <s v="141-225"/>
    <n v="5"/>
    <s v="Cohere Health"/>
    <s v="Boston, MA"/>
    <s v="Boston,MA"/>
    <x v="6"/>
    <n v="2019"/>
    <s v="Company - Private"/>
    <s v="IT Services"/>
    <x v="3"/>
    <s v="Unknown / Non-Applicable"/>
    <n v="-1"/>
    <n v="141"/>
    <n v="225"/>
    <n v="183"/>
    <x v="27"/>
    <x v="2"/>
  </r>
  <r>
    <s v="Data Scientist"/>
    <s v="141-225"/>
    <n v="-1"/>
    <s v="Trovetechs Inc"/>
    <s v="San Francisco, CA"/>
    <s v="Hillsborough,NJ"/>
    <x v="8"/>
    <n v="-1"/>
    <s v="Company - Private"/>
    <s v="-1"/>
    <x v="11"/>
    <s v="Unknown / Non-Applicable"/>
    <n v="-1"/>
    <n v="141"/>
    <n v="225"/>
    <n v="183"/>
    <x v="43"/>
    <x v="2"/>
  </r>
  <r>
    <s v="Senior Data Scientist - R&amp;D Oncology"/>
    <s v="141-225"/>
    <n v="4"/>
    <s v="Astrazeneca"/>
    <s v="New York, NY"/>
    <s v="Cambridge,United Kingdom"/>
    <x v="4"/>
    <n v="1913"/>
    <s v="Company - Public"/>
    <s v="Biotech &amp; Pharmaceuticals"/>
    <x v="4"/>
    <s v="$10+ billion (USD)"/>
    <s v="Roche, GlaxoSmithKline, Novartis"/>
    <n v="141"/>
    <n v="225"/>
    <n v="183"/>
    <x v="48"/>
    <x v="0"/>
  </r>
  <r>
    <s v="Data Scientist"/>
    <s v="141-225"/>
    <n v="4.2"/>
    <s v="Oshkosh Corporation"/>
    <s v="Oshkosh, WI"/>
    <s v="Oshkosh,WI"/>
    <x v="4"/>
    <n v="1917"/>
    <s v="Company - Public"/>
    <s v="Transportation Equipment Manufacturing"/>
    <x v="2"/>
    <s v="$5 to $10 billion (USD)"/>
    <s v="Lockheed Martin, Caterpillar, John Deere"/>
    <n v="141"/>
    <n v="225"/>
    <n v="183"/>
    <x v="73"/>
    <x v="0"/>
  </r>
  <r>
    <s v="Data Scientist"/>
    <s v="141-225"/>
    <n v="4.3"/>
    <s v="Joby Aviation"/>
    <s v="San Carlos, CA"/>
    <s v="Santa Cruz,CA"/>
    <x v="3"/>
    <n v="-1"/>
    <s v="Company - Private"/>
    <s v="-1"/>
    <x v="11"/>
    <s v="Unknown / Non-Applicable"/>
    <n v="-1"/>
    <n v="141"/>
    <n v="225"/>
    <n v="183"/>
    <x v="43"/>
    <x v="2"/>
  </r>
  <r>
    <s v="Data Scientist"/>
    <s v="141-225"/>
    <n v="3.4"/>
    <s v="Mackin"/>
    <s v="Menlo Park, CA"/>
    <s v="Pittsburgh,PA"/>
    <x v="3"/>
    <n v="1960"/>
    <s v="Company - Private"/>
    <s v="Architectural &amp; Engineering Services"/>
    <x v="1"/>
    <s v="$10 to $25 million (USD)"/>
    <n v="-1"/>
    <n v="141"/>
    <n v="225"/>
    <n v="183"/>
    <x v="80"/>
    <x v="0"/>
  </r>
  <r>
    <s v="Data Scientist"/>
    <s v="141-225"/>
    <n v="-1"/>
    <s v="Petadata"/>
    <s v="San Francisco, CA"/>
    <s v="Fremont,CA"/>
    <x v="3"/>
    <n v="-1"/>
    <s v="Company - Private"/>
    <s v="-1"/>
    <x v="11"/>
    <s v="Unknown / Non-Applicable"/>
    <n v="-1"/>
    <n v="141"/>
    <n v="225"/>
    <n v="183"/>
    <x v="43"/>
    <x v="2"/>
  </r>
  <r>
    <s v="Data Scientist"/>
    <s v="141-225"/>
    <n v="4.4000000000000004"/>
    <s v="Vbeyond Corporation"/>
    <s v="Dallas, TX"/>
    <s v="Hillsborough,NJ"/>
    <x v="5"/>
    <n v="2006"/>
    <s v="Company - Private"/>
    <s v="Staffing &amp; Outsourcing"/>
    <x v="1"/>
    <s v="$5 to $10 million (USD)"/>
    <n v="-1"/>
    <n v="141"/>
    <n v="225"/>
    <n v="183"/>
    <x v="39"/>
    <x v="1"/>
  </r>
  <r>
    <s v="Data Scientist Machine Learning"/>
    <s v="141-225"/>
    <n v="3.5"/>
    <s v="Leidos"/>
    <s v="Arlington, VA"/>
    <s v="Reston,VA"/>
    <x v="4"/>
    <n v="1969"/>
    <s v="Company - Public"/>
    <s v="Aerospace &amp; Defense"/>
    <x v="10"/>
    <s v="$10+ billion (USD)"/>
    <n v="-1"/>
    <n v="141"/>
    <n v="225"/>
    <n v="183"/>
    <x v="58"/>
    <x v="0"/>
  </r>
  <r>
    <s v="Data Scientist"/>
    <s v="141-225"/>
    <n v="3.7"/>
    <s v="Take-Two"/>
    <s v="San Francisco, CA"/>
    <s v="New York,NY"/>
    <x v="0"/>
    <n v="1993"/>
    <s v="Company - Public"/>
    <s v="Video Games"/>
    <x v="13"/>
    <s v="$1 to $2 billion (USD)"/>
    <s v="Activision Blizzard, Electronic Arts"/>
    <n v="141"/>
    <n v="225"/>
    <n v="183"/>
    <x v="0"/>
    <x v="0"/>
  </r>
  <r>
    <s v="Data Scientist"/>
    <s v="141-225"/>
    <n v="3.7"/>
    <s v="Colony Brands"/>
    <s v="Monroe, WI"/>
    <s v="Monroe,WI"/>
    <x v="2"/>
    <n v="-1"/>
    <s v="Company - Private"/>
    <s v="Food &amp; Beverage Stores"/>
    <x v="5"/>
    <s v="$100 to $500 million (USD)"/>
    <n v="-1"/>
    <n v="141"/>
    <n v="225"/>
    <n v="183"/>
    <x v="43"/>
    <x v="2"/>
  </r>
  <r>
    <s v="Data Scientist"/>
    <s v="141-225"/>
    <n v="4.0999999999999996"/>
    <s v="Capio Group"/>
    <s v="Sacramento, CA"/>
    <s v="Goteborg,Sweden"/>
    <x v="4"/>
    <n v="-1"/>
    <s v="Hospital"/>
    <s v="Health Care Services &amp; Hospitals"/>
    <x v="8"/>
    <s v="Unknown / Non-Applicable"/>
    <n v="-1"/>
    <n v="141"/>
    <n v="225"/>
    <n v="183"/>
    <x v="43"/>
    <x v="2"/>
  </r>
  <r>
    <s v="Data Scientist"/>
    <s v="141-225"/>
    <n v="3.4"/>
    <s v="Sleepare"/>
    <s v="New York, NY"/>
    <s v="New York,NY"/>
    <x v="6"/>
    <n v="2017"/>
    <s v="Company - Private"/>
    <s v="Other Retail Stores"/>
    <x v="5"/>
    <s v="Unknown / Non-Applicable"/>
    <n v="-1"/>
    <n v="141"/>
    <n v="225"/>
    <n v="183"/>
    <x v="19"/>
    <x v="2"/>
  </r>
  <r>
    <s v="Data Analyst"/>
    <s v="141-225"/>
    <n v="4.5"/>
    <s v="Shorepoint"/>
    <s v="Reston, VA"/>
    <s v="Washington,DC"/>
    <x v="6"/>
    <n v="2017"/>
    <s v="Company - Private"/>
    <s v="IT Services"/>
    <x v="3"/>
    <s v="Unknown / Non-Applicable"/>
    <n v="-1"/>
    <n v="141"/>
    <n v="225"/>
    <n v="183"/>
    <x v="19"/>
    <x v="2"/>
  </r>
  <r>
    <s v="Data Scientist"/>
    <s v="141-225"/>
    <n v="3.5"/>
    <s v="Dolphin"/>
    <s v="New York, NY"/>
    <s v="Lake Buena Vista,FL"/>
    <x v="0"/>
    <n v="1990"/>
    <s v="Company - Private"/>
    <s v="Hotels, Motels, &amp; Resorts"/>
    <x v="16"/>
    <s v="Unknown / Non-Applicable"/>
    <n v="-1"/>
    <n v="141"/>
    <n v="225"/>
    <n v="183"/>
    <x v="7"/>
    <x v="0"/>
  </r>
  <r>
    <s v="Data Scientist"/>
    <s v="141-225"/>
    <n v="3.6"/>
    <s v="Te Connectivity"/>
    <s v="Hampton, VA"/>
    <s v="Schaffhausen,Switzerland"/>
    <x v="4"/>
    <n v="2007"/>
    <s v="Company - Public"/>
    <s v="Electrical &amp; Electronic Manufacturing"/>
    <x v="2"/>
    <s v="$10+ billion (USD)"/>
    <n v="-1"/>
    <n v="141"/>
    <n v="225"/>
    <n v="183"/>
    <x v="53"/>
    <x v="1"/>
  </r>
  <r>
    <s v="Data Scientist"/>
    <s v="141-225"/>
    <n v="3.2"/>
    <s v="State Of Virginia"/>
    <s v="Richmond, VA"/>
    <s v="Richmond,VA"/>
    <x v="4"/>
    <n v="1788"/>
    <s v="Government"/>
    <s v="State &amp; Regional Agencies"/>
    <x v="7"/>
    <s v="$10+ billion (USD)"/>
    <n v="-1"/>
    <n v="141"/>
    <n v="225"/>
    <n v="183"/>
    <x v="81"/>
    <x v="0"/>
  </r>
  <r>
    <s v="Data Scientist"/>
    <s v="141-225"/>
    <n v="3.7"/>
    <s v="Ta Digital"/>
    <s v="New York, NY"/>
    <s v="Newark,CA"/>
    <x v="2"/>
    <n v="2000"/>
    <s v="Company - Private"/>
    <s v="Computer Hardware &amp; Software"/>
    <x v="3"/>
    <s v="$25 to $50 million (USD)"/>
    <n v="-1"/>
    <n v="141"/>
    <n v="225"/>
    <n v="183"/>
    <x v="3"/>
    <x v="0"/>
  </r>
  <r>
    <s v="Data Scientist"/>
    <s v="141-225"/>
    <n v="4"/>
    <s v="Market America Inc"/>
    <s v="Monterey, CA"/>
    <s v="Greensboro,NC"/>
    <x v="2"/>
    <n v="1992"/>
    <s v="Company - Private"/>
    <s v="Other Retail Stores"/>
    <x v="5"/>
    <s v="$100 to $500 million (USD)"/>
    <n v="-1"/>
    <n v="141"/>
    <n v="225"/>
    <n v="183"/>
    <x v="23"/>
    <x v="0"/>
  </r>
  <r>
    <s v="Data Scientist"/>
    <s v="145-225"/>
    <n v="3.2"/>
    <s v="Triplebyte"/>
    <s v="Chicago, IL"/>
    <s v="San Francisco,CA"/>
    <x v="3"/>
    <n v="2015"/>
    <s v="Company - Private"/>
    <s v="Computer Hardware &amp; Software"/>
    <x v="3"/>
    <s v="Unknown / Non-Applicable"/>
    <n v="-1"/>
    <n v="145"/>
    <n v="225"/>
    <n v="185"/>
    <x v="16"/>
    <x v="1"/>
  </r>
  <r>
    <s v="Data Scientist"/>
    <s v="145-225"/>
    <n v="4.5"/>
    <s v="Kingfisher Systems"/>
    <s v="McLean, VA"/>
    <s v="Falls Church,VA"/>
    <x v="3"/>
    <n v="2005"/>
    <s v="Company - Private"/>
    <s v="Federal Agencies"/>
    <x v="7"/>
    <s v="$25 to $50 million (USD)"/>
    <n v="-1"/>
    <n v="145"/>
    <n v="225"/>
    <n v="185"/>
    <x v="26"/>
    <x v="0"/>
  </r>
  <r>
    <s v="Chief Scientist"/>
    <s v="145-225"/>
    <n v="3.4"/>
    <s v="Trueaccord"/>
    <s v="Remote"/>
    <s v="San Francisco,CA"/>
    <x v="3"/>
    <n v="2013"/>
    <s v="Company - Private"/>
    <s v="Enterprise Software &amp; Network Solutions"/>
    <x v="3"/>
    <s v="Unknown / Non-Applicable"/>
    <n v="-1"/>
    <n v="145"/>
    <n v="225"/>
    <n v="185"/>
    <x v="35"/>
    <x v="1"/>
  </r>
  <r>
    <s v="Data Scientist"/>
    <s v="145-225"/>
    <n v="3.9"/>
    <s v="Alta It Services"/>
    <s v="Woodlawn, MD"/>
    <s v="Rockville,MD"/>
    <x v="5"/>
    <n v="2004"/>
    <s v="Company - Private"/>
    <s v="IT Services"/>
    <x v="3"/>
    <s v="$10 to $25 million (USD)"/>
    <n v="-1"/>
    <n v="145"/>
    <n v="225"/>
    <n v="185"/>
    <x v="65"/>
    <x v="0"/>
  </r>
  <r>
    <s v="Data Scientist"/>
    <s v="145-225"/>
    <n v="3.2"/>
    <s v="Kollasoft Inc"/>
    <s v="United States"/>
    <s v="Scottsdale,AZ"/>
    <x v="6"/>
    <n v="-1"/>
    <s v="Company - Private"/>
    <s v="IT Services"/>
    <x v="3"/>
    <s v="$1 to $5 million (USD)"/>
    <n v="-1"/>
    <n v="145"/>
    <n v="225"/>
    <n v="185"/>
    <x v="43"/>
    <x v="2"/>
  </r>
  <r>
    <s v="Data Scientist"/>
    <s v="145-225"/>
    <n v="5"/>
    <s v="Kollasoft Inc"/>
    <s v="New York, NY"/>
    <s v="Irving,TX"/>
    <x v="8"/>
    <n v="-1"/>
    <s v="Company - Public"/>
    <s v="-1"/>
    <x v="11"/>
    <s v="Unknown / Non-Applicable"/>
    <n v="-1"/>
    <n v="145"/>
    <n v="225"/>
    <n v="185"/>
    <x v="43"/>
    <x v="2"/>
  </r>
  <r>
    <s v="Data Scientist"/>
    <s v="145-225"/>
    <n v="3.4"/>
    <s v="Asrc Federal Holding Company"/>
    <s v="Reston, VA"/>
    <s v="Beltsville,MD"/>
    <x v="1"/>
    <n v="2003"/>
    <s v="Company - Private"/>
    <s v="Aerospace &amp; Defense"/>
    <x v="10"/>
    <s v="$500 million to $1 billion (USD)"/>
    <n v="-1"/>
    <n v="145"/>
    <n v="225"/>
    <n v="185"/>
    <x v="24"/>
    <x v="0"/>
  </r>
  <r>
    <s v="Data Scientist"/>
    <s v="145-225"/>
    <n v="4.4000000000000004"/>
    <s v="Adwait Algorithm"/>
    <s v="New York, NY"/>
    <s v="Houston,TX"/>
    <x v="3"/>
    <n v="2015"/>
    <s v="Company - Private"/>
    <s v="IT Services"/>
    <x v="3"/>
    <s v="Unknown / Non-Applicable"/>
    <n v="-1"/>
    <n v="145"/>
    <n v="225"/>
    <n v="185"/>
    <x v="16"/>
    <x v="1"/>
  </r>
  <r>
    <s v="Health Plan Data Analyst, Sr"/>
    <s v="145-225"/>
    <n v="3.8"/>
    <s v="Cook Children'S Health Care System"/>
    <s v="Fort Worth, TX"/>
    <s v="Fort Worth,TX"/>
    <x v="1"/>
    <n v="1918"/>
    <s v="Nonprofit Organization"/>
    <s v="Health Care Services &amp; Hospitals"/>
    <x v="8"/>
    <s v="$100 to $500 million (USD)"/>
    <s v="Children's Health, Texas Health Resources, Baylor Scott &amp; White Health"/>
    <n v="145"/>
    <n v="225"/>
    <n v="185"/>
    <x v="67"/>
    <x v="0"/>
  </r>
  <r>
    <s v="Principal Scientist/Associate Director, Quality Control And Analytical Technologies"/>
    <s v="145-225"/>
    <n v="3.8"/>
    <s v="Rubius Therapeutics"/>
    <s v="Smithfield, RI"/>
    <s v="Cambridge,MA"/>
    <x v="5"/>
    <n v="2013"/>
    <s v="Company - Public"/>
    <s v="Biotech &amp; Pharmaceuticals"/>
    <x v="4"/>
    <s v="$100 to $500 million (USD)"/>
    <n v="-1"/>
    <n v="145"/>
    <n v="225"/>
    <n v="185"/>
    <x v="35"/>
    <x v="1"/>
  </r>
  <r>
    <s v="Data Scientist"/>
    <s v="145-225"/>
    <n v="3.5"/>
    <s v="Cambridge Fx"/>
    <s v="Atlanta, GA"/>
    <s v="Toronto,Canada"/>
    <x v="5"/>
    <n v="1992"/>
    <s v="Company - Public"/>
    <s v="Financial Transaction Processing"/>
    <x v="9"/>
    <s v="$100 to $500 million (USD)"/>
    <n v="-1"/>
    <n v="145"/>
    <n v="225"/>
    <n v="185"/>
    <x v="23"/>
    <x v="0"/>
  </r>
  <r>
    <s v="Senior Data Scientist"/>
    <s v="145-225"/>
    <n v="3.8"/>
    <s v="Metromile"/>
    <s v="San Francisco, CA"/>
    <s v="San Francisco,CA"/>
    <x v="5"/>
    <n v="2011"/>
    <s v="Company - Private"/>
    <s v="Insurance Carriers"/>
    <x v="0"/>
    <s v="Unknown / Non-Applicable"/>
    <n v="-1"/>
    <n v="145"/>
    <n v="225"/>
    <n v="185"/>
    <x v="20"/>
    <x v="1"/>
  </r>
  <r>
    <s v="Data Scientist"/>
    <s v="145-225"/>
    <n v="3.9"/>
    <s v="Criteo"/>
    <s v="Ann Arbor, MI"/>
    <s v="Paris,France"/>
    <x v="0"/>
    <n v="2005"/>
    <s v="Company - Public"/>
    <s v="Internet"/>
    <x v="3"/>
    <s v="$2 to $5 billion (USD)"/>
    <s v="MediaMath, Conversant, AppNexus"/>
    <n v="145"/>
    <n v="225"/>
    <n v="185"/>
    <x v="26"/>
    <x v="0"/>
  </r>
  <r>
    <s v="Data Scientist"/>
    <s v="145-225"/>
    <n v="3.4"/>
    <s v="Advance Sourcing Concepts"/>
    <s v="Pittsburgh, PA"/>
    <s v="Pittsburgh,PA"/>
    <x v="3"/>
    <n v="-1"/>
    <s v="Company - Private"/>
    <s v="-1"/>
    <x v="11"/>
    <s v="$1 to $5 million (USD)"/>
    <n v="-1"/>
    <n v="145"/>
    <n v="225"/>
    <n v="185"/>
    <x v="43"/>
    <x v="2"/>
  </r>
  <r>
    <s v="Data Scientist"/>
    <s v="145-225"/>
    <n v="3.8"/>
    <s v="Enterprise Solutions Inc"/>
    <s v="New York, NY"/>
    <s v="Naperville,IL"/>
    <x v="3"/>
    <n v="2000"/>
    <s v="Company - Private"/>
    <s v="Staffing &amp; Outsourcing"/>
    <x v="1"/>
    <s v="$25 to $50 million (USD)"/>
    <n v="-1"/>
    <n v="145"/>
    <n v="225"/>
    <n v="185"/>
    <x v="3"/>
    <x v="0"/>
  </r>
  <r>
    <s v="Analytics - Business Assurance Data Analyst"/>
    <s v="145-225"/>
    <n v="4.5999999999999996"/>
    <s v="Greatamerica Financial Services"/>
    <s v="Cedar Rapids, IA"/>
    <s v="Cedar Rapids,IA"/>
    <x v="2"/>
    <n v="1992"/>
    <s v="Company - Private"/>
    <s v="Lending"/>
    <x v="9"/>
    <s v="$100 to $500 million (USD)"/>
    <n v="-1"/>
    <n v="145"/>
    <n v="225"/>
    <n v="185"/>
    <x v="23"/>
    <x v="0"/>
  </r>
  <r>
    <s v="Data Scientist"/>
    <s v="145-225"/>
    <n v="-1"/>
    <s v="Microagility"/>
    <s v="New York, NY"/>
    <s v="Princeton,NJ"/>
    <x v="6"/>
    <n v="-1"/>
    <s v="Company - Private"/>
    <s v="Consulting"/>
    <x v="1"/>
    <s v="$1 to $5 million (USD)"/>
    <n v="-1"/>
    <n v="145"/>
    <n v="225"/>
    <n v="185"/>
    <x v="43"/>
    <x v="2"/>
  </r>
  <r>
    <s v="Data Scientist"/>
    <s v="145-225"/>
    <n v="4.5999999999999996"/>
    <s v="Conch Technologies, Inc"/>
    <s v="Concord, CA"/>
    <s v="Memphis,TN"/>
    <x v="3"/>
    <n v="-1"/>
    <s v="Company - Private"/>
    <s v="Consulting"/>
    <x v="1"/>
    <s v="$5 to $10 million (USD)"/>
    <n v="-1"/>
    <n v="145"/>
    <n v="225"/>
    <n v="185"/>
    <x v="43"/>
    <x v="2"/>
  </r>
  <r>
    <s v="Development Scientist, Voltaren"/>
    <s v="145-225"/>
    <n v="3.9"/>
    <s v="Gsk"/>
    <s v="Richmond, VA"/>
    <s v="Brentford,United Kingdom"/>
    <x v="4"/>
    <n v="1830"/>
    <s v="Company - Public"/>
    <s v="Biotech &amp; Pharmaceuticals"/>
    <x v="4"/>
    <s v="$10+ billion (USD)"/>
    <s v="Pfizer, AstraZeneca, Merck"/>
    <n v="145"/>
    <n v="225"/>
    <n v="185"/>
    <x v="82"/>
    <x v="0"/>
  </r>
  <r>
    <s v="Data Scientist"/>
    <s v="145-225"/>
    <n v="-1"/>
    <s v="Rainmaker Resources, Llc"/>
    <s v="Cincinnati, OH"/>
    <s v="Cincinnati,OH"/>
    <x v="6"/>
    <n v="-1"/>
    <s v="Company - Private"/>
    <s v="-1"/>
    <x v="11"/>
    <s v="Unknown / Non-Applicable"/>
    <n v="-1"/>
    <n v="145"/>
    <n v="225"/>
    <n v="185"/>
    <x v="43"/>
    <x v="2"/>
  </r>
  <r>
    <s v="Data Scientist"/>
    <s v="79-147"/>
    <n v="3.7"/>
    <s v="Govtech"/>
    <s v="San Francisco, CA"/>
    <s v="Singapore,Singapore"/>
    <x v="0"/>
    <n v="2016"/>
    <s v="Government"/>
    <s v="Federal Agencies"/>
    <x v="7"/>
    <s v="Unknown / Non-Applicable"/>
    <n v="-1"/>
    <n v="79"/>
    <n v="147"/>
    <n v="113"/>
    <x v="11"/>
    <x v="1"/>
  </r>
  <r>
    <s v="Data Scientist"/>
    <s v="79-147"/>
    <n v="3.3"/>
    <s v="Intellectual Ventures"/>
    <s v="Bellevue, WA"/>
    <s v="Bellevue,WA"/>
    <x v="2"/>
    <n v="2000"/>
    <s v="Company - Private"/>
    <s v="Investment Banking &amp; Asset Management"/>
    <x v="9"/>
    <s v="Unknown / Non-Applicable"/>
    <n v="-1"/>
    <n v="79"/>
    <n v="147"/>
    <n v="113"/>
    <x v="3"/>
    <x v="0"/>
  </r>
  <r>
    <s v="Data Engineer"/>
    <s v="79-147"/>
    <n v="4.4000000000000004"/>
    <s v="Rocket Lawyer"/>
    <s v="San Francisco, CA"/>
    <s v="San Francisco,CA"/>
    <x v="3"/>
    <n v="2008"/>
    <s v="Company - Private"/>
    <s v="Computer Hardware &amp; Software"/>
    <x v="3"/>
    <s v="$50 to $100 million (USD)"/>
    <n v="-1"/>
    <n v="79"/>
    <n v="147"/>
    <n v="113"/>
    <x v="29"/>
    <x v="1"/>
  </r>
  <r>
    <s v="Data Scientist"/>
    <s v="79-147"/>
    <n v="3.7"/>
    <s v="22Nd Century Technologies"/>
    <s v="Oakland, CA"/>
    <s v="Somerset,NJ"/>
    <x v="0"/>
    <n v="1997"/>
    <s v="Company - Private"/>
    <s v="IT Services"/>
    <x v="3"/>
    <s v="$25 to $50 million (USD)"/>
    <n v="-1"/>
    <n v="79"/>
    <n v="147"/>
    <n v="113"/>
    <x v="15"/>
    <x v="0"/>
  </r>
  <r>
    <s v="Data Scientist"/>
    <s v="79-147"/>
    <n v="3.3"/>
    <s v="Huxley"/>
    <s v="San Francisco, CA"/>
    <s v="London,United Kingdom"/>
    <x v="5"/>
    <n v="1995"/>
    <s v="Company - Private"/>
    <s v="Staffing &amp; Outsourcing"/>
    <x v="1"/>
    <s v="$25 to $50 million (USD)"/>
    <n v="-1"/>
    <n v="79"/>
    <n v="147"/>
    <n v="113"/>
    <x v="42"/>
    <x v="0"/>
  </r>
  <r>
    <s v="Data Scientist"/>
    <s v="79-147"/>
    <n v="3.4"/>
    <s v="Fm Systems"/>
    <s v="Boston, MA"/>
    <s v="Raleigh,NC"/>
    <x v="3"/>
    <n v="1984"/>
    <s v="Company - Private"/>
    <s v="Computer Hardware &amp; Software"/>
    <x v="3"/>
    <s v="$5 to $10 million (USD)"/>
    <s v="Archibus, iOffice, Planon"/>
    <n v="79"/>
    <n v="147"/>
    <n v="113"/>
    <x v="83"/>
    <x v="0"/>
  </r>
  <r>
    <s v="Data Scientist"/>
    <s v="79-147"/>
    <n v="-1"/>
    <s v="B4Corp"/>
    <s v="Reston, VA"/>
    <s v="Leesburg,VA"/>
    <x v="3"/>
    <n v="-1"/>
    <s v="Company - Private"/>
    <s v="IT Services"/>
    <x v="3"/>
    <s v="Unknown / Non-Applicable"/>
    <n v="-1"/>
    <n v="79"/>
    <n v="147"/>
    <n v="113"/>
    <x v="43"/>
    <x v="2"/>
  </r>
  <r>
    <s v="Machine Learning Engineer"/>
    <s v="79-147"/>
    <n v="3.7"/>
    <s v="Mteq"/>
    <s v="Fort Belvoir, VA"/>
    <s v="Lorton,VA"/>
    <x v="2"/>
    <n v="1954"/>
    <s v="Company - Public"/>
    <s v="Aerospace &amp; Defense"/>
    <x v="10"/>
    <s v="$100 to $500 million (USD)"/>
    <s v="Harris, Fibertek"/>
    <n v="79"/>
    <n v="147"/>
    <n v="113"/>
    <x v="68"/>
    <x v="0"/>
  </r>
  <r>
    <s v="Principal Data &amp; Analytics Platform Engineer"/>
    <s v="79-147"/>
    <n v="3.7"/>
    <s v="Blue Cross And Blue Shield Of North Carolina"/>
    <s v="Durham, NC"/>
    <s v="Durham,NC"/>
    <x v="0"/>
    <n v="1933"/>
    <s v="Company - Private"/>
    <s v="Insurance Carriers"/>
    <x v="0"/>
    <s v="$5 to $10 billion (USD)"/>
    <n v="-1"/>
    <n v="79"/>
    <n v="147"/>
    <n v="113"/>
    <x v="84"/>
    <x v="0"/>
  </r>
  <r>
    <s v="Machine Learning Engineer/Scientist"/>
    <s v="79-147"/>
    <n v="4.8"/>
    <s v="Jane Street"/>
    <s v="New York, NY"/>
    <s v="New York,NY"/>
    <x v="2"/>
    <n v="2000"/>
    <s v="Company - Private"/>
    <s v="Investment Banking &amp; Asset Management"/>
    <x v="9"/>
    <s v="Unknown / Non-Applicable"/>
    <n v="-1"/>
    <n v="79"/>
    <n v="147"/>
    <n v="113"/>
    <x v="3"/>
    <x v="0"/>
  </r>
  <r>
    <s v="Data Scientist"/>
    <s v="79-147"/>
    <n v="5"/>
    <s v="Ssati"/>
    <s v="McLean, VA"/>
    <s v="Annapolis Junction,MD"/>
    <x v="6"/>
    <n v="2003"/>
    <s v="Company - Private"/>
    <s v="Computer Hardware &amp; Software"/>
    <x v="3"/>
    <s v="$10 to $25 million (USD)"/>
    <n v="-1"/>
    <n v="79"/>
    <n v="147"/>
    <n v="113"/>
    <x v="24"/>
    <x v="0"/>
  </r>
  <r>
    <s v="Senior Data Scientist Вђ“ Image Analytics, Novartis Ai Innovation Lab"/>
    <s v="79-147"/>
    <n v="3.9"/>
    <s v="Novartis"/>
    <s v="Cambridge, MA"/>
    <s v="Basel,Switzerland"/>
    <x v="4"/>
    <n v="1996"/>
    <s v="Company - Public"/>
    <s v="Biotech &amp; Pharmaceuticals"/>
    <x v="4"/>
    <s v="$10+ billion (USD)"/>
    <n v="-1"/>
    <n v="79"/>
    <n v="147"/>
    <n v="113"/>
    <x v="6"/>
    <x v="0"/>
  </r>
  <r>
    <s v="Data Scientist"/>
    <s v="79-147"/>
    <n v="3.4"/>
    <s v="Solving It International Inc"/>
    <s v="Chicago, IL"/>
    <s v="Chicago,IL"/>
    <x v="2"/>
    <n v="-1"/>
    <s v="Company - Private"/>
    <s v="-1"/>
    <x v="11"/>
    <s v="Unknown / Non-Applicable"/>
    <n v="-1"/>
    <n v="79"/>
    <n v="147"/>
    <n v="113"/>
    <x v="43"/>
    <x v="2"/>
  </r>
  <r>
    <s v="Data Scientist"/>
    <s v="79-147"/>
    <n v="3.3"/>
    <s v="The Davey Tree Expert Company"/>
    <s v="Kent, OH"/>
    <s v="Kent,OH"/>
    <x v="4"/>
    <n v="1880"/>
    <s v="Self-employed"/>
    <s v="Timber Operations"/>
    <x v="17"/>
    <s v="$1 to $2 billion (USD)"/>
    <s v="ACRT Services, Bartlett Tree Experts"/>
    <n v="79"/>
    <n v="147"/>
    <n v="113"/>
    <x v="85"/>
    <x v="0"/>
  </r>
  <r>
    <s v="Data Scientist"/>
    <s v="79-147"/>
    <n v="4.5999999999999996"/>
    <s v="Centauri"/>
    <s v="Reston, VA"/>
    <s v="Chantilly,VA"/>
    <x v="2"/>
    <n v="1999"/>
    <s v="Company - Private"/>
    <s v="Aerospace &amp; Defense"/>
    <x v="10"/>
    <s v="$100 to $500 million (USD)"/>
    <s v="TASC, Vencore, Booz Allen Hamilton"/>
    <n v="79"/>
    <n v="147"/>
    <n v="113"/>
    <x v="30"/>
    <x v="0"/>
  </r>
  <r>
    <s v="Data Scientist"/>
    <s v="79-147"/>
    <n v="-1"/>
    <s v="Stride Search"/>
    <s v="San Francisco, CA"/>
    <s v="Westlake Village,CA"/>
    <x v="6"/>
    <n v="-1"/>
    <s v="Company - Private"/>
    <s v="-1"/>
    <x v="11"/>
    <s v="Less than $1 million (USD)"/>
    <n v="-1"/>
    <n v="79"/>
    <n v="147"/>
    <n v="113"/>
    <x v="43"/>
    <x v="2"/>
  </r>
  <r>
    <s v="Machine Learning Engineer"/>
    <s v="79-147"/>
    <n v="2.6"/>
    <s v="Software Engineering Institute"/>
    <s v="Pittsburgh, PA"/>
    <s v="Pittsburgh,PA"/>
    <x v="2"/>
    <n v="1984"/>
    <s v="College / University"/>
    <s v="Colleges &amp; Universities"/>
    <x v="18"/>
    <s v="Unknown / Non-Applicable"/>
    <n v="-1"/>
    <n v="79"/>
    <n v="147"/>
    <n v="113"/>
    <x v="83"/>
    <x v="0"/>
  </r>
  <r>
    <s v="Data Analyst - Unilever Prestige"/>
    <s v="79-147"/>
    <n v="3.8"/>
    <s v="Dermalogica"/>
    <s v="Carson, CA"/>
    <s v="Carson,CA"/>
    <x v="5"/>
    <n v="1986"/>
    <s v="Subsidiary or Business Segment"/>
    <s v="Consumer Products Manufacturing"/>
    <x v="2"/>
    <s v="$100 to $500 million (USD)"/>
    <s v="IMAGE Skincare, Aveda, Kiehl's"/>
    <n v="79"/>
    <n v="147"/>
    <n v="113"/>
    <x v="14"/>
    <x v="0"/>
  </r>
  <r>
    <s v="Data Scientist"/>
    <s v="79-147"/>
    <n v="4.8"/>
    <s v="Techprojects"/>
    <s v="New York, NY"/>
    <s v="North Brunswick,NJ"/>
    <x v="6"/>
    <n v="2011"/>
    <s v="Company - Private"/>
    <s v="IT Services"/>
    <x v="3"/>
    <s v="Unknown / Non-Applicable"/>
    <n v="-1"/>
    <n v="79"/>
    <n v="147"/>
    <n v="113"/>
    <x v="20"/>
    <x v="1"/>
  </r>
  <r>
    <s v="Vp, Data Science"/>
    <s v="79-147"/>
    <n v="3.9"/>
    <s v="7Park Data"/>
    <s v="New York, NY"/>
    <s v="New York,NY"/>
    <x v="3"/>
    <n v="2012"/>
    <s v="Company - Private"/>
    <s v="Research &amp; Development"/>
    <x v="1"/>
    <s v="Unknown / Non-Applicable"/>
    <n v="-1"/>
    <n v="79"/>
    <n v="147"/>
    <n v="113"/>
    <x v="10"/>
    <x v="1"/>
  </r>
  <r>
    <s v="Data Scientist"/>
    <s v="122-146"/>
    <n v="4"/>
    <s v="Netskope"/>
    <s v="Santa Clara, CA"/>
    <s v="Santa Clara,CA"/>
    <x v="2"/>
    <n v="2012"/>
    <s v="Company - Private"/>
    <s v="Enterprise Software &amp; Network Solutions"/>
    <x v="3"/>
    <s v="Unknown / Non-Applicable"/>
    <s v="Skyhigh Networks, Zscaler, NortonLifeLock"/>
    <n v="122"/>
    <n v="146"/>
    <n v="134"/>
    <x v="10"/>
    <x v="1"/>
  </r>
  <r>
    <s v="Data Scientist"/>
    <s v="122-146"/>
    <n v="4.2"/>
    <s v="Eversight"/>
    <s v="Palo Alto, CA"/>
    <s v="Palo Alto,CA"/>
    <x v="3"/>
    <n v="2013"/>
    <s v="Company - Private"/>
    <s v="Enterprise Software &amp; Network Solutions"/>
    <x v="3"/>
    <s v="$10 to $25 million (USD)"/>
    <n v="-1"/>
    <n v="122"/>
    <n v="146"/>
    <n v="134"/>
    <x v="35"/>
    <x v="1"/>
  </r>
  <r>
    <s v="Senior Business Intelligence Analyst"/>
    <s v="122-146"/>
    <n v="3.7"/>
    <s v="Protolabs"/>
    <s v="Maple Plain, MN"/>
    <s v="Maple Plain,MN"/>
    <x v="0"/>
    <n v="1999"/>
    <s v="Company - Public"/>
    <s v="Miscellaneous Manufacturing"/>
    <x v="2"/>
    <s v="$100 to $500 million (USD)"/>
    <n v="-1"/>
    <n v="122"/>
    <n v="146"/>
    <n v="134"/>
    <x v="30"/>
    <x v="0"/>
  </r>
  <r>
    <s v="Data Scientist"/>
    <s v="122-146"/>
    <n v="3"/>
    <s v="Ameritas Life Insurance Corp"/>
    <s v="Cincinnati, OH"/>
    <s v="Lincoln,NE"/>
    <x v="0"/>
    <n v="1887"/>
    <s v="Company - Private"/>
    <s v="Insurance Agencies &amp; Brokerages"/>
    <x v="0"/>
    <s v="$2 to $5 billion (USD)"/>
    <n v="-1"/>
    <n v="122"/>
    <n v="146"/>
    <n v="134"/>
    <x v="86"/>
    <x v="0"/>
  </r>
  <r>
    <s v="Data Engineer - Kafka"/>
    <s v="122-146"/>
    <n v="3.5"/>
    <s v="Western Digital"/>
    <s v="San Jose, CA"/>
    <s v="San Jose,CA"/>
    <x v="4"/>
    <n v="1970"/>
    <s v="Company - Public"/>
    <s v="Computer Hardware &amp; Software"/>
    <x v="3"/>
    <s v="$10+ billion (USD)"/>
    <s v="Seagate Technology, Toshiba"/>
    <n v="122"/>
    <n v="146"/>
    <n v="134"/>
    <x v="87"/>
    <x v="0"/>
  </r>
  <r>
    <s v="Data Scientist"/>
    <s v="122-146"/>
    <n v="2.9"/>
    <s v="Shimento, Inc"/>
    <s v="Santa Clara, CA"/>
    <s v="Benicia,CA"/>
    <x v="6"/>
    <n v="-1"/>
    <s v="Company - Private"/>
    <s v="-1"/>
    <x v="11"/>
    <s v="$1 to $5 million (USD)"/>
    <n v="-1"/>
    <n v="122"/>
    <n v="146"/>
    <n v="134"/>
    <x v="43"/>
    <x v="2"/>
  </r>
  <r>
    <s v="Data Scientist"/>
    <s v="122-146"/>
    <n v="5"/>
    <s v="Averity"/>
    <s v="New York, NY"/>
    <s v="New York,NY"/>
    <x v="6"/>
    <n v="2014"/>
    <s v="Company - Private"/>
    <s v="Staffing &amp; Outsourcing"/>
    <x v="1"/>
    <s v="Unknown / Non-Applicable"/>
    <n v="-1"/>
    <n v="122"/>
    <n v="146"/>
    <n v="134"/>
    <x v="9"/>
    <x v="1"/>
  </r>
  <r>
    <s v="Data Scientist"/>
    <s v="122-146"/>
    <n v="4.7"/>
    <s v="Praxis Engineering"/>
    <s v="Chantilly, VA"/>
    <s v="Annapolis Junction,MD"/>
    <x v="5"/>
    <n v="2002"/>
    <s v="Subsidiary or Business Segment"/>
    <s v="Computer Hardware &amp; Software"/>
    <x v="3"/>
    <s v="$100 to $500 million (USD)"/>
    <s v="Raytheon Technologies, Northrop Grumman, Booz Allen Hamilton"/>
    <n v="122"/>
    <n v="146"/>
    <n v="134"/>
    <x v="55"/>
    <x v="0"/>
  </r>
  <r>
    <s v="Data Scientist"/>
    <s v="122-146"/>
    <n v="-1"/>
    <s v="Point72 Ventures"/>
    <s v="Palo Alto, CA"/>
    <n v="-1"/>
    <x v="7"/>
    <n v="-1"/>
    <s v="-1"/>
    <s v="-1"/>
    <x v="11"/>
    <s v="-1"/>
    <n v="-1"/>
    <n v="122"/>
    <n v="146"/>
    <n v="134"/>
    <x v="43"/>
    <x v="2"/>
  </r>
  <r>
    <s v="Decision Scientist"/>
    <s v="122-146"/>
    <n v="4.5"/>
    <s v="Johns Hopkins University Applied Physics Laboratory"/>
    <s v="Laurel, MD"/>
    <s v="Laurel,MD"/>
    <x v="1"/>
    <n v="1942"/>
    <s v="Nonprofit Organization"/>
    <s v="Aerospace &amp; Defense"/>
    <x v="10"/>
    <s v="$1 to $2 billion (USD)"/>
    <s v="MIT Lincoln Laboratory, Lockheed Martin, Northrop Grumman"/>
    <n v="122"/>
    <n v="146"/>
    <n v="134"/>
    <x v="88"/>
    <x v="0"/>
  </r>
  <r>
    <s v="Data Scientist"/>
    <s v="122-146"/>
    <n v="4.9000000000000004"/>
    <s v="Cambridge Mobile Telematics"/>
    <s v="Cambridge, MA"/>
    <s v="Cambridge,MA"/>
    <x v="6"/>
    <n v="2010"/>
    <s v="Company - Private"/>
    <s v="Enterprise Software &amp; Network Solutions"/>
    <x v="3"/>
    <s v="Unknown / Non-Applicable"/>
    <n v="-1"/>
    <n v="122"/>
    <n v="146"/>
    <n v="134"/>
    <x v="5"/>
    <x v="1"/>
  </r>
  <r>
    <s v="Data Science All Star Program - Data Engineer Track"/>
    <s v="122-146"/>
    <n v="4.5999999999999996"/>
    <s v="Blend"/>
    <s v="Columbia, MD"/>
    <s v="Columbia,MD"/>
    <x v="3"/>
    <n v="2002"/>
    <s v="Company - Private"/>
    <s v="Consulting"/>
    <x v="1"/>
    <s v="Unknown / Non-Applicable"/>
    <n v="-1"/>
    <n v="122"/>
    <n v="146"/>
    <n v="134"/>
    <x v="55"/>
    <x v="0"/>
  </r>
  <r>
    <s v="Data Scientist - Ts/Sci Fsp Or Ci Required"/>
    <s v="122-146"/>
    <n v="5"/>
    <s v="Phoenix Operations Group"/>
    <s v="Annapolis Junction, MD"/>
    <s v="Woodbine,MD"/>
    <x v="6"/>
    <n v="2011"/>
    <s v="Company - Private"/>
    <s v="IT Services"/>
    <x v="3"/>
    <s v="$1 to $5 million (USD)"/>
    <n v="-1"/>
    <n v="122"/>
    <n v="146"/>
    <n v="134"/>
    <x v="20"/>
    <x v="1"/>
  </r>
  <r>
    <s v="Data Analyst"/>
    <s v="122-146"/>
    <n v="3.9"/>
    <s v="Nolij Consulting"/>
    <s v="Falls Church, VA"/>
    <s v="Vienna,VA"/>
    <x v="3"/>
    <n v="2012"/>
    <s v="Company - Public"/>
    <s v="Consulting"/>
    <x v="1"/>
    <s v="$1 to $5 million (USD)"/>
    <n v="-1"/>
    <n v="122"/>
    <n v="146"/>
    <n v="134"/>
    <x v="10"/>
    <x v="1"/>
  </r>
  <r>
    <s v="Data Scientist"/>
    <s v="122-146"/>
    <n v="-1"/>
    <s v="Hatch Data Inc"/>
    <s v="San Francisco, CA"/>
    <n v="-1"/>
    <x v="7"/>
    <n v="-1"/>
    <s v="-1"/>
    <s v="-1"/>
    <x v="11"/>
    <s v="-1"/>
    <n v="-1"/>
    <n v="122"/>
    <n v="146"/>
    <n v="134"/>
    <x v="43"/>
    <x v="2"/>
  </r>
  <r>
    <s v="Data Scientist"/>
    <s v="122-146"/>
    <n v="-1"/>
    <s v="Hatch Data Inc"/>
    <s v="San Francisco, CA"/>
    <n v="-1"/>
    <x v="7"/>
    <n v="-1"/>
    <s v="-1"/>
    <s v="-1"/>
    <x v="11"/>
    <s v="-1"/>
    <n v="-1"/>
    <n v="122"/>
    <n v="146"/>
    <n v="134"/>
    <x v="43"/>
    <x v="2"/>
  </r>
  <r>
    <s v="Data Scientist"/>
    <s v="122-146"/>
    <n v="-1"/>
    <s v="Hatch Data Inc"/>
    <s v="San Francisco, CA"/>
    <n v="-1"/>
    <x v="7"/>
    <n v="-1"/>
    <s v="-1"/>
    <s v="-1"/>
    <x v="11"/>
    <s v="-1"/>
    <n v="-1"/>
    <n v="122"/>
    <n v="146"/>
    <n v="134"/>
    <x v="43"/>
    <x v="2"/>
  </r>
  <r>
    <s v="Data Scientist"/>
    <s v="122-146"/>
    <n v="-1"/>
    <s v="Hatch Data Inc"/>
    <s v="San Francisco, CA"/>
    <n v="-1"/>
    <x v="7"/>
    <n v="-1"/>
    <s v="-1"/>
    <s v="-1"/>
    <x v="11"/>
    <s v="-1"/>
    <n v="-1"/>
    <n v="122"/>
    <n v="146"/>
    <n v="134"/>
    <x v="43"/>
    <x v="2"/>
  </r>
  <r>
    <s v="Data Scientist"/>
    <s v="122-146"/>
    <n v="-1"/>
    <s v="Hatch Data Inc"/>
    <s v="San Francisco, CA"/>
    <n v="-1"/>
    <x v="7"/>
    <n v="-1"/>
    <s v="-1"/>
    <s v="-1"/>
    <x v="11"/>
    <s v="-1"/>
    <n v="-1"/>
    <n v="122"/>
    <n v="146"/>
    <n v="134"/>
    <x v="43"/>
    <x v="2"/>
  </r>
  <r>
    <s v="Data Scientist"/>
    <s v="122-146"/>
    <n v="-1"/>
    <s v="Hatch Data Inc"/>
    <s v="San Francisco, CA"/>
    <n v="-1"/>
    <x v="7"/>
    <n v="-1"/>
    <s v="-1"/>
    <s v="-1"/>
    <x v="11"/>
    <s v="-1"/>
    <n v="-1"/>
    <n v="122"/>
    <n v="146"/>
    <n v="134"/>
    <x v="43"/>
    <x v="2"/>
  </r>
  <r>
    <s v="Senior Data Scientist"/>
    <s v="122-146"/>
    <n v="3.5"/>
    <s v="Maxar Technologies"/>
    <s v="Herndon, VA"/>
    <s v="Westminster,CO"/>
    <x v="1"/>
    <n v="-1"/>
    <s v="Company - Public"/>
    <s v="Aerospace &amp; Defense"/>
    <x v="10"/>
    <s v="$2 to $5 billion (USD)"/>
    <n v="-1"/>
    <n v="122"/>
    <n v="146"/>
    <n v="134"/>
    <x v="43"/>
    <x v="2"/>
  </r>
  <r>
    <s v="Data Scientist"/>
    <s v="112-116"/>
    <n v="4.3"/>
    <s v="Quick Base"/>
    <s v="Cambridge, MA"/>
    <s v="Cambridge,MA"/>
    <x v="5"/>
    <n v="1999"/>
    <s v="Company - Private"/>
    <s v="Enterprise Software &amp; Network Solutions"/>
    <x v="3"/>
    <s v="Unknown / Non-Applicable"/>
    <n v="-1"/>
    <n v="112"/>
    <n v="116"/>
    <n v="114"/>
    <x v="30"/>
    <x v="0"/>
  </r>
  <r>
    <s v="Data Scientist"/>
    <s v="112-116"/>
    <n v="3.7"/>
    <s v="Takeda"/>
    <s v="Cambridge, MA"/>
    <s v="Osaka,Japan"/>
    <x v="4"/>
    <n v="1781"/>
    <s v="Company - Public"/>
    <s v="Biotech &amp; Pharmaceuticals"/>
    <x v="4"/>
    <s v="$10+ billion (USD)"/>
    <s v="Novartis, Baxter, Pfizer"/>
    <n v="112"/>
    <n v="116"/>
    <n v="114"/>
    <x v="37"/>
    <x v="0"/>
  </r>
  <r>
    <s v="Data Scientist"/>
    <s v="112-116"/>
    <n v="3.5"/>
    <s v="Maxar Technologies"/>
    <s v="Herndon, VA"/>
    <s v="Westminster,CO"/>
    <x v="1"/>
    <n v="-1"/>
    <s v="Company - Public"/>
    <s v="Aerospace &amp; Defense"/>
    <x v="10"/>
    <s v="$2 to $5 billion (USD)"/>
    <n v="-1"/>
    <n v="112"/>
    <n v="116"/>
    <n v="114"/>
    <x v="43"/>
    <x v="2"/>
  </r>
  <r>
    <s v="Engineer - Computer Scientist - Research Computer Scientist - Signal Processing - San Antonio Or"/>
    <s v="112-116"/>
    <n v="3.9"/>
    <s v="Southwest Research Institute"/>
    <s v="Oklahoma City, OK"/>
    <s v="San Antonio,TX"/>
    <x v="0"/>
    <n v="1947"/>
    <s v="Nonprofit Organization"/>
    <s v="Research &amp; Development"/>
    <x v="1"/>
    <s v="$500 million to $1 billion (USD)"/>
    <s v="Los Alamos National Laboratory, Battelle, SRI International"/>
    <n v="112"/>
    <n v="116"/>
    <n v="114"/>
    <x v="69"/>
    <x v="0"/>
  </r>
  <r>
    <s v="Data Scientist"/>
    <s v="112-116"/>
    <n v="4.7"/>
    <s v="Compass Consulting Group"/>
    <s v="Thousand Oaks, CA"/>
    <s v="Danville,CA"/>
    <x v="3"/>
    <n v="2008"/>
    <s v="Company - Private"/>
    <s v="Consulting"/>
    <x v="1"/>
    <s v="Unknown / Non-Applicable"/>
    <n v="-1"/>
    <n v="112"/>
    <n v="116"/>
    <n v="114"/>
    <x v="29"/>
    <x v="1"/>
  </r>
  <r>
    <s v="Data Science Software Engineer"/>
    <s v="112-116"/>
    <n v="4.8"/>
    <s v="Klaviyo"/>
    <s v="Boston, MA"/>
    <s v="Boston,MA"/>
    <x v="5"/>
    <n v="2012"/>
    <s v="Company - Private"/>
    <s v="Computer Hardware &amp; Software"/>
    <x v="3"/>
    <s v="Unknown / Non-Applicable"/>
    <n v="-1"/>
    <n v="112"/>
    <n v="116"/>
    <n v="114"/>
    <x v="10"/>
    <x v="1"/>
  </r>
  <r>
    <s v="Ai Ops Data Scientist"/>
    <s v="112-116"/>
    <n v="4"/>
    <s v="Astrazeneca"/>
    <s v="Gaithersburg, MD"/>
    <s v="Cambridge,United Kingdom"/>
    <x v="4"/>
    <n v="1913"/>
    <s v="Company - Public"/>
    <s v="Biotech &amp; Pharmaceuticals"/>
    <x v="4"/>
    <s v="$10+ billion (USD)"/>
    <s v="Roche, GlaxoSmithKline, Novartis"/>
    <n v="112"/>
    <n v="116"/>
    <n v="114"/>
    <x v="48"/>
    <x v="0"/>
  </r>
  <r>
    <s v="Data Scientist"/>
    <s v="112-116"/>
    <n v="4.4000000000000004"/>
    <s v="Solutionit, Inc"/>
    <s v="Edison, NJ"/>
    <s v="Wilmington,MA"/>
    <x v="3"/>
    <n v="-1"/>
    <s v="Company - Private"/>
    <s v="-1"/>
    <x v="11"/>
    <s v="Unknown / Non-Applicable"/>
    <n v="-1"/>
    <n v="112"/>
    <n v="116"/>
    <n v="114"/>
    <x v="43"/>
    <x v="2"/>
  </r>
  <r>
    <s v="Data Scientist"/>
    <s v="112-116"/>
    <n v="3.2"/>
    <s v="Perspecta"/>
    <s v="Adelphi, MD"/>
    <s v="Chantilly,VA"/>
    <x v="4"/>
    <n v="2018"/>
    <s v="Company - Public"/>
    <s v="Aerospace &amp; Defense"/>
    <x v="10"/>
    <s v="Unknown / Non-Applicable"/>
    <n v="-1"/>
    <n v="112"/>
    <n v="116"/>
    <n v="114"/>
    <x v="71"/>
    <x v="2"/>
  </r>
  <r>
    <s v="Data Scientist"/>
    <s v="112-116"/>
    <n v="4.5"/>
    <s v="Smith Hanley Associates"/>
    <s v="Washington, DC"/>
    <s v="New York,061"/>
    <x v="6"/>
    <n v="1980"/>
    <s v="Company - Private"/>
    <s v="Staffing &amp; Outsourcing"/>
    <x v="1"/>
    <s v="Unknown / Non-Applicable"/>
    <s v="Kforce, PageGroup, Robert Half"/>
    <n v="112"/>
    <n v="116"/>
    <n v="114"/>
    <x v="89"/>
    <x v="0"/>
  </r>
  <r>
    <s v="Scientist - Machine Learning"/>
    <s v="112-116"/>
    <n v="3.5"/>
    <s v="Allen Institute"/>
    <s v="Seattle, WA"/>
    <s v="Seattle,WA"/>
    <x v="5"/>
    <n v="2003"/>
    <s v="Nonprofit Organization"/>
    <s v="Research &amp; Development"/>
    <x v="1"/>
    <s v="$100 to $500 million (USD)"/>
    <n v="-1"/>
    <n v="112"/>
    <n v="116"/>
    <n v="114"/>
    <x v="24"/>
    <x v="0"/>
  </r>
  <r>
    <s v="Data Scientist"/>
    <s v="112-116"/>
    <n v="4.4000000000000004"/>
    <s v="Eliassen Group"/>
    <s v="Plano, TX"/>
    <s v="Reading,MA"/>
    <x v="0"/>
    <n v="1989"/>
    <s v="Company - Private"/>
    <s v="Staffing &amp; Outsourcing"/>
    <x v="1"/>
    <s v="$100 to $500 million (USD)"/>
    <s v="TEKsystems, Kforce, Randstad US"/>
    <n v="112"/>
    <n v="116"/>
    <n v="114"/>
    <x v="90"/>
    <x v="0"/>
  </r>
  <r>
    <s v="Data Scientist"/>
    <s v="112-116"/>
    <n v="3.1"/>
    <s v="Bayside Solutions"/>
    <s v="Sunnyvale, CA"/>
    <s v="Pleasanton,CA"/>
    <x v="6"/>
    <n v="2001"/>
    <s v="Company - Private"/>
    <s v="Staffing &amp; Outsourcing"/>
    <x v="1"/>
    <s v="$1 to $5 million (USD)"/>
    <n v="-1"/>
    <n v="112"/>
    <n v="116"/>
    <n v="114"/>
    <x v="46"/>
    <x v="0"/>
  </r>
  <r>
    <s v="Sr. Data Scientist"/>
    <s v="112-116"/>
    <n v="3.5"/>
    <s v="Evolve Vacation Rental"/>
    <s v="Denver, CO"/>
    <s v="Denver,CO"/>
    <x v="5"/>
    <n v="2011"/>
    <s v="Company - Private"/>
    <s v="Travel Agencies"/>
    <x v="16"/>
    <s v="Unknown / Non-Applicable"/>
    <n v="-1"/>
    <n v="112"/>
    <n v="116"/>
    <n v="114"/>
    <x v="20"/>
    <x v="1"/>
  </r>
  <r>
    <s v="Data Scientist"/>
    <s v="112-116"/>
    <n v="3.8"/>
    <s v="Agreeya Solutions"/>
    <s v="Thousand Oaks, CA"/>
    <s v="Folsom,CA"/>
    <x v="0"/>
    <n v="1999"/>
    <s v="Company - Private"/>
    <s v="IT Services"/>
    <x v="3"/>
    <s v="$50 to $100 million (USD)"/>
    <n v="-1"/>
    <n v="112"/>
    <n v="116"/>
    <n v="114"/>
    <x v="30"/>
    <x v="0"/>
  </r>
  <r>
    <s v="Data Scientist"/>
    <s v="112-116"/>
    <n v="3.7"/>
    <s v="Carolina Power &amp; Light Co"/>
    <s v="McLean, VA"/>
    <s v="Raleigh,NC"/>
    <x v="1"/>
    <n v="1908"/>
    <s v="Subsidiary or Business Segment"/>
    <s v="Energy"/>
    <x v="6"/>
    <s v="Unknown / Non-Applicable"/>
    <s v="South Carolina Electric &amp; Gas, Virginia Electric and Power"/>
    <n v="112"/>
    <n v="116"/>
    <n v="114"/>
    <x v="91"/>
    <x v="0"/>
  </r>
  <r>
    <s v="Analytics Manager - Data Mart"/>
    <s v="112-116"/>
    <n v="3.5"/>
    <s v="Central California Alliance For Health"/>
    <s v="Scotts Valley, CA"/>
    <s v="Scotts Valley,CA"/>
    <x v="2"/>
    <n v="1996"/>
    <s v="Nonprofit Organization"/>
    <s v="Health Care Services &amp; Hospitals"/>
    <x v="8"/>
    <s v="$500 million to $1 billion (USD)"/>
    <n v="-1"/>
    <n v="112"/>
    <n v="116"/>
    <n v="114"/>
    <x v="6"/>
    <x v="0"/>
  </r>
  <r>
    <s v="Data Modeler (Analytical Systems)"/>
    <s v="112-116"/>
    <n v="3.7"/>
    <s v="Massmutual"/>
    <s v="Boston, MA"/>
    <s v="Springfield,MA"/>
    <x v="1"/>
    <n v="1851"/>
    <s v="Company - Private"/>
    <s v="Insurance Carriers"/>
    <x v="0"/>
    <s v="$10+ billion (USD)"/>
    <n v="-1"/>
    <n v="112"/>
    <n v="116"/>
    <n v="114"/>
    <x v="64"/>
    <x v="0"/>
  </r>
  <r>
    <s v="Applied Ai Scientist / Engineer"/>
    <s v="112-116"/>
    <n v="5"/>
    <s v="New Iron Group, Inc"/>
    <s v="Boston, MA"/>
    <s v="Austin,TX"/>
    <x v="6"/>
    <n v="2003"/>
    <s v="Contract"/>
    <s v="Computer Hardware &amp; Software"/>
    <x v="3"/>
    <s v="Unknown / Non-Applicable"/>
    <n v="-1"/>
    <n v="112"/>
    <n v="116"/>
    <n v="114"/>
    <x v="24"/>
    <x v="0"/>
  </r>
  <r>
    <s v="Data Engineer (Analytics, Sql, Python, Aws)"/>
    <s v="112-116"/>
    <n v="4"/>
    <s v="Travelers"/>
    <s v="Hartford, CT"/>
    <s v="Hartford,CT"/>
    <x v="4"/>
    <n v="1853"/>
    <s v="Company - Public"/>
    <s v="Insurance Carriers"/>
    <x v="0"/>
    <s v="$10+ billion (USD)"/>
    <n v="-1"/>
    <n v="112"/>
    <n v="116"/>
    <n v="114"/>
    <x v="92"/>
    <x v="0"/>
  </r>
  <r>
    <s v="Senior Data Analyst - Finance &amp; Platform Analytics"/>
    <s v="112-116"/>
    <n v="3.6"/>
    <s v="Twitch"/>
    <s v="San Francisco, CA"/>
    <s v="San Francisco,CA"/>
    <x v="0"/>
    <n v="2011"/>
    <s v="Subsidiary or Business Segment"/>
    <s v="Internet"/>
    <x v="3"/>
    <s v="Unknown / Non-Applicable"/>
    <n v="-1"/>
    <n v="112"/>
    <n v="116"/>
    <n v="114"/>
    <x v="20"/>
    <x v="1"/>
  </r>
  <r>
    <s v="Senior Data Scientist"/>
    <s v="110-163"/>
    <n v="4.8"/>
    <s v="Klaviyo"/>
    <s v="Boston, MA"/>
    <s v="Boston,MA"/>
    <x v="5"/>
    <n v="2012"/>
    <s v="Company - Private"/>
    <s v="Computer Hardware &amp; Software"/>
    <x v="3"/>
    <s v="Unknown / Non-Applicable"/>
    <n v="-1"/>
    <n v="110"/>
    <n v="163"/>
    <n v="136.5"/>
    <x v="10"/>
    <x v="1"/>
  </r>
  <r>
    <s v="Market Research Data Scientist"/>
    <s v="110-163"/>
    <n v="3.8"/>
    <s v="Gutcheck"/>
    <s v="Denver, CO"/>
    <s v="Denver,CO"/>
    <x v="3"/>
    <n v="2009"/>
    <s v="Company - Private"/>
    <s v="Advertising &amp; Marketing"/>
    <x v="1"/>
    <s v="$10 to $25 million (USD)"/>
    <s v="Nielsen, Zappi, SurveyMonkey"/>
    <n v="110"/>
    <n v="163"/>
    <n v="136.5"/>
    <x v="51"/>
    <x v="1"/>
  </r>
  <r>
    <s v="It Partner Digital Health Technology And Data Science"/>
    <s v="110-163"/>
    <n v="3.6"/>
    <s v="Biogen"/>
    <s v="Cambridge, MA"/>
    <s v="Cambridge,MA"/>
    <x v="1"/>
    <n v="1978"/>
    <s v="Company - Public"/>
    <s v="Biotech &amp; Pharmaceuticals"/>
    <x v="4"/>
    <s v="$10+ billion (USD)"/>
    <n v="-1"/>
    <n v="110"/>
    <n v="163"/>
    <n v="136.5"/>
    <x v="31"/>
    <x v="0"/>
  </r>
  <r>
    <s v="Data Scientist"/>
    <s v="110-163"/>
    <n v="-1"/>
    <s v="Hireai"/>
    <s v="San Francisco, CA"/>
    <n v="-1"/>
    <x v="7"/>
    <n v="-1"/>
    <s v="-1"/>
    <s v="-1"/>
    <x v="11"/>
    <s v="-1"/>
    <n v="-1"/>
    <n v="110"/>
    <n v="163"/>
    <n v="136.5"/>
    <x v="43"/>
    <x v="2"/>
  </r>
  <r>
    <s v="Data Scientist"/>
    <s v="110-163"/>
    <n v="-1"/>
    <s v="Hireai"/>
    <s v="San Francisco, CA"/>
    <n v="-1"/>
    <x v="7"/>
    <n v="-1"/>
    <s v="-1"/>
    <s v="-1"/>
    <x v="11"/>
    <s v="-1"/>
    <n v="-1"/>
    <n v="110"/>
    <n v="163"/>
    <n v="136.5"/>
    <x v="43"/>
    <x v="2"/>
  </r>
  <r>
    <s v="Senior Machine Learning Scientist - Bay Area, Ca"/>
    <s v="110-163"/>
    <n v="3.3"/>
    <s v="Tempus Labs"/>
    <s v="Redwood City, CA"/>
    <s v="Chicago,IL"/>
    <x v="2"/>
    <n v="2015"/>
    <s v="Company - Private"/>
    <s v="Biotech &amp; Pharmaceuticals"/>
    <x v="4"/>
    <s v="Unknown / Non-Applicable"/>
    <n v="-1"/>
    <n v="110"/>
    <n v="163"/>
    <n v="136.5"/>
    <x v="16"/>
    <x v="1"/>
  </r>
  <r>
    <s v="Software Engineer (Data Scientist, C,C++,Linux,Unix) - Sisw - Mg"/>
    <s v="110-163"/>
    <n v="4.0999999999999996"/>
    <s v="Mentor Graphics"/>
    <s v="Fremont, CA"/>
    <s v="Wilsonville,OR"/>
    <x v="1"/>
    <n v="1981"/>
    <s v="Company - Public"/>
    <s v="Computer Hardware &amp; Software"/>
    <x v="3"/>
    <s v="$1 to $2 billion (USD)"/>
    <s v="Cadence Design Systems, Synopsys, Altium Limited"/>
    <n v="110"/>
    <n v="163"/>
    <n v="136.5"/>
    <x v="2"/>
    <x v="0"/>
  </r>
  <r>
    <s v="Senior Clinical Data Scientist Programmer"/>
    <s v="110-163"/>
    <n v="3.6"/>
    <s v="Wcg (Wirb-Copernicus Group"/>
    <s v="Hamilton, NJ"/>
    <s v="Princeton,NJ"/>
    <x v="0"/>
    <n v="-1"/>
    <s v="Company - Private"/>
    <s v="Biotech &amp; Pharmaceuticals"/>
    <x v="4"/>
    <s v="$100 to $500 million (USD)"/>
    <n v="-1"/>
    <n v="110"/>
    <n v="163"/>
    <n v="136.5"/>
    <x v="43"/>
    <x v="2"/>
  </r>
  <r>
    <s v="Data Engineer"/>
    <s v="110-163"/>
    <n v="4.5"/>
    <s v="Kingfisher Systems"/>
    <s v="Falls Church, VA"/>
    <s v="Falls Church,VA"/>
    <x v="3"/>
    <n v="2005"/>
    <s v="Company - Private"/>
    <s v="Federal Agencies"/>
    <x v="7"/>
    <s v="$25 to $50 million (USD)"/>
    <n v="-1"/>
    <n v="110"/>
    <n v="163"/>
    <n v="136.5"/>
    <x v="26"/>
    <x v="0"/>
  </r>
  <r>
    <s v="Computer Vision / Deep Learning Scientist"/>
    <s v="110-163"/>
    <n v="3.3"/>
    <s v="Tempus Labs"/>
    <s v="Chicago, IL"/>
    <s v="Chicago,IL"/>
    <x v="2"/>
    <n v="2015"/>
    <s v="Company - Private"/>
    <s v="Biotech &amp; Pharmaceuticals"/>
    <x v="4"/>
    <s v="Unknown / Non-Applicable"/>
    <n v="-1"/>
    <n v="110"/>
    <n v="163"/>
    <n v="136.5"/>
    <x v="16"/>
    <x v="1"/>
  </r>
  <r>
    <s v="Data Solutions Engineer - Data Modeler"/>
    <s v="110-163"/>
    <n v="3.4"/>
    <s v="Liberty Mutual Insurance"/>
    <s v="Indianapolis, IN"/>
    <s v="Boston,MA"/>
    <x v="4"/>
    <n v="1912"/>
    <s v="Company - Private"/>
    <s v="Insurance Carriers"/>
    <x v="0"/>
    <s v="$10+ billion (USD)"/>
    <s v="Travelers, Allstate, State Farm"/>
    <n v="110"/>
    <n v="163"/>
    <n v="136.5"/>
    <x v="33"/>
    <x v="0"/>
  </r>
  <r>
    <s v="Data Scientist"/>
    <s v="110-163"/>
    <n v="4.3"/>
    <s v="Visionary Integration Professionals"/>
    <s v="Washington, DC"/>
    <s v="Folsom,CA"/>
    <x v="2"/>
    <n v="1996"/>
    <s v="Company - Private"/>
    <s v="IT Services"/>
    <x v="3"/>
    <s v="$100 to $500 million (USD)"/>
    <s v="CGI (Nevada), Accenture, Deloitte"/>
    <n v="110"/>
    <n v="163"/>
    <n v="136.5"/>
    <x v="6"/>
    <x v="0"/>
  </r>
  <r>
    <s v="Data Scientist (Ts/Sci W/ Poly)"/>
    <s v="110-163"/>
    <n v="3.5"/>
    <s v="Maxar Technologies"/>
    <s v="Herndon, VA"/>
    <s v="Westminster,CO"/>
    <x v="1"/>
    <n v="-1"/>
    <s v="Company - Public"/>
    <s v="Aerospace &amp; Defense"/>
    <x v="10"/>
    <s v="$2 to $5 billion (USD)"/>
    <n v="-1"/>
    <n v="110"/>
    <n v="163"/>
    <n v="136.5"/>
    <x v="43"/>
    <x v="2"/>
  </r>
  <r>
    <s v="Weapons And Sensors Engineer/Scientist"/>
    <s v="110-163"/>
    <n v="4"/>
    <s v="Dynetics"/>
    <s v="Huntsville, AL"/>
    <s v="Huntsville,AL"/>
    <x v="0"/>
    <n v="1974"/>
    <s v="Company - Private"/>
    <s v="Aerospace &amp; Defense"/>
    <x v="10"/>
    <s v="$100 to $500 million (USD)"/>
    <n v="-1"/>
    <n v="110"/>
    <n v="163"/>
    <n v="136.5"/>
    <x v="45"/>
    <x v="0"/>
  </r>
  <r>
    <s v="Applied Computer Scientist"/>
    <s v="110-163"/>
    <n v="4.5"/>
    <s v="Systems &amp; Technology Research"/>
    <s v="Woburn, MA"/>
    <s v="Woburn,MA"/>
    <x v="5"/>
    <n v="2010"/>
    <s v="Company - Private"/>
    <s v="Aerospace &amp; Defense"/>
    <x v="10"/>
    <s v="$100 to $500 million (USD)"/>
    <n v="-1"/>
    <n v="110"/>
    <n v="163"/>
    <n v="136.5"/>
    <x v="5"/>
    <x v="1"/>
  </r>
  <r>
    <s v="Senior Data Analyst"/>
    <s v="110-163"/>
    <n v="4.5"/>
    <s v="Novetta"/>
    <s v="Herndon, VA"/>
    <s v="Mc Lean,VA"/>
    <x v="2"/>
    <n v="2012"/>
    <s v="Company - Private"/>
    <s v="Enterprise Software &amp; Network Solutions"/>
    <x v="3"/>
    <s v="$100 to $500 million (USD)"/>
    <s v="Leidos, CACI International, Booz Allen Hamilton"/>
    <n v="110"/>
    <n v="163"/>
    <n v="136.5"/>
    <x v="10"/>
    <x v="1"/>
  </r>
  <r>
    <s v="Cloud Data Engineer (Azure)"/>
    <s v="110-163"/>
    <n v="3.9"/>
    <s v="Navy Federal Credit Union"/>
    <s v="Merrifield, VA"/>
    <s v="Vienna,VA"/>
    <x v="4"/>
    <n v="1933"/>
    <s v="Other Organization"/>
    <s v="Banks &amp; Credit Unions"/>
    <x v="9"/>
    <s v="Unknown / Non-Applicable"/>
    <n v="-1"/>
    <n v="110"/>
    <n v="163"/>
    <n v="136.5"/>
    <x v="84"/>
    <x v="0"/>
  </r>
  <r>
    <s v="Lead Certified Clinical Laboratory Scientist - Saturday - Tuesday, 8:00Pm - 6:30Am Shift"/>
    <s v="110-163"/>
    <n v="4"/>
    <s v="Exact Sciences Corporation"/>
    <s v="Madison, WI"/>
    <s v="Madison,WI"/>
    <x v="0"/>
    <n v="1995"/>
    <s v="Company - Public"/>
    <s v="Health Care Services &amp; Hospitals"/>
    <x v="8"/>
    <s v="$100 to $500 million (USD)"/>
    <n v="-1"/>
    <n v="110"/>
    <n v="163"/>
    <n v="136.5"/>
    <x v="42"/>
    <x v="0"/>
  </r>
  <r>
    <s v="Sr. Data Analyst"/>
    <s v="110-163"/>
    <n v="3.6"/>
    <s v="Community Behavioral Health"/>
    <s v="Philadelphia, PA"/>
    <s v="Phila,PA"/>
    <x v="5"/>
    <n v="1994"/>
    <s v="Company - Private"/>
    <s v="Health Care Services &amp; Hospitals"/>
    <x v="8"/>
    <s v="$500 million to $1 billion (USD)"/>
    <n v="-1"/>
    <n v="110"/>
    <n v="163"/>
    <n v="136.5"/>
    <x v="40"/>
    <x v="0"/>
  </r>
  <r>
    <s v="Senior Scientist - Toxicologist - Product Integrity (Stewardship)"/>
    <s v="110-163"/>
    <n v="3.3"/>
    <s v="Reynolds American"/>
    <s v="Winston-Salem, NC"/>
    <s v="Winston-Salem,NC"/>
    <x v="1"/>
    <n v="1875"/>
    <s v="Company - Private"/>
    <s v="Consumer Products Manufacturing"/>
    <x v="2"/>
    <s v="$10+ billion (USD)"/>
    <n v="-1"/>
    <n v="110"/>
    <n v="163"/>
    <n v="136.5"/>
    <x v="93"/>
    <x v="0"/>
  </r>
  <r>
    <s v="Senior Machine Learning Engineer"/>
    <s v="110-163"/>
    <n v="5"/>
    <s v="Lifeomic"/>
    <s v="Raleigh, NC"/>
    <s v="Indianapolis,IN"/>
    <x v="3"/>
    <n v="2016"/>
    <s v="Company - Private"/>
    <s v="Enterprise Software &amp; Network Solutions"/>
    <x v="3"/>
    <s v="Unknown / Non-Applicable"/>
    <n v="-1"/>
    <n v="110"/>
    <n v="163"/>
    <n v="136.5"/>
    <x v="11"/>
    <x v="1"/>
  </r>
  <r>
    <s v="Product Data Scientist - Ads Data Science"/>
    <s v="124-198"/>
    <n v="4.0999999999999996"/>
    <s v="Twitter"/>
    <s v="San Francisco, CA"/>
    <s v="San Francisco,CA"/>
    <x v="0"/>
    <n v="2006"/>
    <s v="Company - Public"/>
    <s v="Internet"/>
    <x v="3"/>
    <s v="$2 to $5 billion (USD)"/>
    <s v="Facebook, Google, Pinterest"/>
    <n v="124"/>
    <n v="198"/>
    <n v="161"/>
    <x v="39"/>
    <x v="1"/>
  </r>
  <r>
    <s v="Data Scientist"/>
    <s v="124-198"/>
    <n v="3.2"/>
    <s v="Postmates - Corporate Hq"/>
    <s v="San Francisco, CA"/>
    <s v="San Francisco,CA"/>
    <x v="0"/>
    <n v="2011"/>
    <s v="Company - Private"/>
    <s v="Express Delivery Services"/>
    <x v="12"/>
    <s v="Unknown / Non-Applicable"/>
    <s v="DoorDash, Uber, Grubhub"/>
    <n v="124"/>
    <n v="198"/>
    <n v="161"/>
    <x v="20"/>
    <x v="1"/>
  </r>
  <r>
    <s v="Data Scientist"/>
    <s v="124-198"/>
    <n v="4.9000000000000004"/>
    <s v="Visionist, Inc"/>
    <s v="Columbia, MD"/>
    <s v="Columbia,MD"/>
    <x v="3"/>
    <n v="2010"/>
    <s v="Company - Private"/>
    <s v="Enterprise Software &amp; Network Solutions"/>
    <x v="3"/>
    <s v="$10 to $25 million (USD)"/>
    <n v="-1"/>
    <n v="124"/>
    <n v="198"/>
    <n v="161"/>
    <x v="5"/>
    <x v="1"/>
  </r>
  <r>
    <s v="Data Scientist"/>
    <s v="124-198"/>
    <n v="-1"/>
    <s v="Navio"/>
    <s v="San Mateo, CA"/>
    <s v="Half Moon Bay,CA"/>
    <x v="8"/>
    <n v="-1"/>
    <s v="Unknown"/>
    <s v="-1"/>
    <x v="11"/>
    <s v="Unknown / Non-Applicable"/>
    <n v="-1"/>
    <n v="124"/>
    <n v="198"/>
    <n v="161"/>
    <x v="43"/>
    <x v="2"/>
  </r>
  <r>
    <s v="Data Scientist"/>
    <s v="124-198"/>
    <n v="3.3"/>
    <s v="Concerto Healthai"/>
    <s v="Boston, MA"/>
    <s v="Boston,MA"/>
    <x v="5"/>
    <n v="2018"/>
    <s v="Company - Private"/>
    <s v="Biotech &amp; Pharmaceuticals"/>
    <x v="4"/>
    <s v="Unknown / Non-Applicable"/>
    <n v="-1"/>
    <n v="124"/>
    <n v="198"/>
    <n v="161"/>
    <x v="71"/>
    <x v="2"/>
  </r>
  <r>
    <s v="Data Scientist"/>
    <s v="124-198"/>
    <n v="-1"/>
    <s v="Evolvinc"/>
    <s v="Burbank, CA"/>
    <s v="Los Angeles,CA"/>
    <x v="6"/>
    <n v="2005"/>
    <s v="Company - Private"/>
    <s v="IT Services"/>
    <x v="3"/>
    <s v="Unknown / Non-Applicable"/>
    <n v="-1"/>
    <n v="124"/>
    <n v="198"/>
    <n v="161"/>
    <x v="26"/>
    <x v="0"/>
  </r>
  <r>
    <s v="Data Scientist"/>
    <s v="124-198"/>
    <n v="5"/>
    <s v="Proprius"/>
    <s v="Sunnyvale, CA"/>
    <s v="London,United Kingdom"/>
    <x v="6"/>
    <n v="-1"/>
    <s v="Company - Private"/>
    <s v="Enterprise Software &amp; Network Solutions"/>
    <x v="3"/>
    <s v="Unknown / Non-Applicable"/>
    <n v="-1"/>
    <n v="124"/>
    <n v="198"/>
    <n v="161"/>
    <x v="43"/>
    <x v="2"/>
  </r>
  <r>
    <s v="Data Scientist"/>
    <s v="124-198"/>
    <n v="3.4"/>
    <s v="Technocraft Solutions"/>
    <s v="San Ramon, CA"/>
    <s v="Hilliard,OH"/>
    <x v="6"/>
    <n v="-1"/>
    <s v="Company - Private"/>
    <s v="Advertising &amp; Marketing"/>
    <x v="1"/>
    <s v="$1 to $5 million (USD)"/>
    <n v="-1"/>
    <n v="124"/>
    <n v="198"/>
    <n v="161"/>
    <x v="43"/>
    <x v="2"/>
  </r>
  <r>
    <s v="Data Scientist"/>
    <s v="124-198"/>
    <n v="4.0999999999999996"/>
    <s v="Latitude, Inc"/>
    <s v="Washington, DC"/>
    <s v="Hanover,MD"/>
    <x v="6"/>
    <n v="-1"/>
    <s v="Company - Private"/>
    <s v="Consulting"/>
    <x v="1"/>
    <s v="$1 to $5 million (USD)"/>
    <n v="-1"/>
    <n v="124"/>
    <n v="198"/>
    <n v="161"/>
    <x v="43"/>
    <x v="2"/>
  </r>
  <r>
    <s v="Data Scientist"/>
    <s v="124-198"/>
    <n v="5"/>
    <s v="Royce Geospatial"/>
    <s v="Springfield, VA"/>
    <s v="Arlington,VA"/>
    <x v="3"/>
    <n v="2014"/>
    <s v="Company - Private"/>
    <s v="Aerospace &amp; Defense"/>
    <x v="10"/>
    <s v="$10 to $25 million (USD)"/>
    <n v="-1"/>
    <n v="124"/>
    <n v="198"/>
    <n v="161"/>
    <x v="9"/>
    <x v="1"/>
  </r>
  <r>
    <s v="Data Scientist"/>
    <s v="124-198"/>
    <n v="4.2"/>
    <s v="Cybercoders"/>
    <s v="Phoenix, AZ"/>
    <s v="Irvine,CA"/>
    <x v="5"/>
    <n v="1999"/>
    <s v="Subsidiary or Business Segment"/>
    <s v="Staffing &amp; Outsourcing"/>
    <x v="1"/>
    <s v="$100 to $500 million (USD)"/>
    <n v="-1"/>
    <n v="124"/>
    <n v="198"/>
    <n v="161"/>
    <x v="30"/>
    <x v="0"/>
  </r>
  <r>
    <s v="Data Scientist"/>
    <s v="124-198"/>
    <n v="3.7"/>
    <s v="Booz Allen Hamilton Inc"/>
    <s v="Oxnard, CA"/>
    <s v="Mc Lean,VA"/>
    <x v="4"/>
    <n v="1914"/>
    <s v="Company - Public"/>
    <s v="Consulting"/>
    <x v="1"/>
    <s v="$5 to $10 billion (USD)"/>
    <s v="Accenture, Deloitte, PwC"/>
    <n v="124"/>
    <n v="198"/>
    <n v="161"/>
    <x v="94"/>
    <x v="0"/>
  </r>
  <r>
    <s v="Data Scientist"/>
    <s v="124-198"/>
    <n v="3.8"/>
    <s v="Burns &amp; Mcdonnell"/>
    <s v="Kansas City, MO"/>
    <s v="Kansas City,MO"/>
    <x v="1"/>
    <n v="1898"/>
    <s v="Company - Private"/>
    <s v="Architectural &amp; Engineering Services"/>
    <x v="1"/>
    <s v="$1 to $2 billion (USD)"/>
    <s v="Bechtel Jacobs, Black &amp; Veatch, HNTB"/>
    <n v="124"/>
    <n v="198"/>
    <n v="161"/>
    <x v="95"/>
    <x v="0"/>
  </r>
  <r>
    <s v="Data Scientist"/>
    <s v="124-198"/>
    <n v="4.8"/>
    <s v="Inventech Info"/>
    <s v="Jersey City, NJ"/>
    <s v="Bengaluru,India"/>
    <x v="5"/>
    <n v="2010"/>
    <s v="Company - Private"/>
    <s v="IT Services"/>
    <x v="3"/>
    <s v="$1 to $5 million (USD)"/>
    <n v="-1"/>
    <n v="124"/>
    <n v="198"/>
    <n v="161"/>
    <x v="5"/>
    <x v="1"/>
  </r>
  <r>
    <s v="Data Scientist"/>
    <s v="124-198"/>
    <n v="3.5"/>
    <s v="Robert Half"/>
    <s v="Manchester, NH"/>
    <s v="Menlo Park,CA"/>
    <x v="4"/>
    <n v="1948"/>
    <s v="Company - Public"/>
    <s v="Staffing &amp; Outsourcing"/>
    <x v="1"/>
    <s v="$2 to $5 billion (USD)"/>
    <s v="Adecco, Manpower"/>
    <n v="124"/>
    <n v="198"/>
    <n v="161"/>
    <x v="62"/>
    <x v="0"/>
  </r>
  <r>
    <s v="Analytics - Business Assurance Data Analyst"/>
    <s v="124-198"/>
    <n v="4.5999999999999996"/>
    <s v="Greatamerica Financial Services"/>
    <s v="Cedar Rapids, IA"/>
    <s v="Cedar Rapids,IA"/>
    <x v="2"/>
    <n v="1992"/>
    <s v="Company - Private"/>
    <s v="Lending"/>
    <x v="9"/>
    <s v="$100 to $500 million (USD)"/>
    <n v="-1"/>
    <n v="124"/>
    <n v="198"/>
    <n v="161"/>
    <x v="23"/>
    <x v="0"/>
  </r>
  <r>
    <s v="Data Scientist"/>
    <s v="124-198"/>
    <n v="4.5"/>
    <s v="Conflux Systems Inc"/>
    <s v="Winters, TX"/>
    <s v="Alpharetta,GA"/>
    <x v="6"/>
    <n v="-1"/>
    <s v="Company - Private"/>
    <s v="Accounting"/>
    <x v="19"/>
    <s v="Less than $1 million (USD)"/>
    <n v="-1"/>
    <n v="124"/>
    <n v="198"/>
    <n v="161"/>
    <x v="43"/>
    <x v="2"/>
  </r>
  <r>
    <s v="Data Scientist"/>
    <s v="124-198"/>
    <n v="3.9"/>
    <s v="Criteo"/>
    <s v="Ann Arbor, MI"/>
    <s v="Paris,France"/>
    <x v="0"/>
    <n v="2005"/>
    <s v="Company - Public"/>
    <s v="Internet"/>
    <x v="3"/>
    <s v="$2 to $5 billion (USD)"/>
    <s v="MediaMath, Conversant, AppNexus"/>
    <n v="124"/>
    <n v="198"/>
    <n v="161"/>
    <x v="26"/>
    <x v="0"/>
  </r>
  <r>
    <s v="Data Scientist"/>
    <s v="124-198"/>
    <n v="3.4"/>
    <s v="Voice"/>
    <s v="Brooklyn, NY"/>
    <n v="-1"/>
    <x v="8"/>
    <n v="-1"/>
    <s v="Company - Private"/>
    <s v="-1"/>
    <x v="11"/>
    <s v="Unknown / Non-Applicable"/>
    <n v="-1"/>
    <n v="124"/>
    <n v="198"/>
    <n v="161"/>
    <x v="43"/>
    <x v="2"/>
  </r>
  <r>
    <s v="Data Scientist"/>
    <s v="124-198"/>
    <n v="-1"/>
    <s v="Microagility"/>
    <s v="New York, NY"/>
    <s v="Princeton,NJ"/>
    <x v="6"/>
    <n v="-1"/>
    <s v="Company - Private"/>
    <s v="Consulting"/>
    <x v="1"/>
    <s v="$1 to $5 million (USD)"/>
    <n v="-1"/>
    <n v="124"/>
    <n v="198"/>
    <n v="161"/>
    <x v="43"/>
    <x v="2"/>
  </r>
  <r>
    <s v="Data Scientist"/>
    <s v="124-198"/>
    <n v="4.0999999999999996"/>
    <s v="Coverent"/>
    <s v="McLean, VA"/>
    <s v="Mclean,VA"/>
    <x v="3"/>
    <n v="2008"/>
    <s v="Company - Private"/>
    <s v="Consulting"/>
    <x v="1"/>
    <s v="$10 to $25 million (USD)"/>
    <n v="-1"/>
    <n v="124"/>
    <n v="198"/>
    <n v="161"/>
    <x v="29"/>
    <x v="1"/>
  </r>
  <r>
    <s v="Data Scientist"/>
    <s v="79-133"/>
    <n v="3.7"/>
    <s v="Via Transportation"/>
    <s v="New York, NY"/>
    <s v="New York,NY"/>
    <x v="2"/>
    <n v="2012"/>
    <s v="Company - Private"/>
    <s v="Internet"/>
    <x v="3"/>
    <s v="Unknown / Non-Applicable"/>
    <n v="-1"/>
    <n v="79"/>
    <n v="133"/>
    <n v="106"/>
    <x v="10"/>
    <x v="1"/>
  </r>
  <r>
    <s v="Senior Data Scientist"/>
    <s v="79-133"/>
    <n v="3.5"/>
    <s v="Benson Hill"/>
    <s v="Saint Louis, MO"/>
    <s v="Saint Louis,MO"/>
    <x v="5"/>
    <n v="2012"/>
    <s v="Company - Private"/>
    <s v="Biotech &amp; Pharmaceuticals"/>
    <x v="4"/>
    <s v="$1 to $5 million (USD)"/>
    <n v="-1"/>
    <n v="79"/>
    <n v="133"/>
    <n v="106"/>
    <x v="10"/>
    <x v="1"/>
  </r>
  <r>
    <s v="Data Scientist"/>
    <s v="79-133"/>
    <n v="4.5999999999999996"/>
    <s v="Conch Technologies, Inc"/>
    <s v="Concord, CA"/>
    <s v="Memphis,TN"/>
    <x v="3"/>
    <n v="-1"/>
    <s v="Company - Private"/>
    <s v="Consulting"/>
    <x v="1"/>
    <s v="$5 to $10 million (USD)"/>
    <n v="-1"/>
    <n v="79"/>
    <n v="133"/>
    <n v="106"/>
    <x v="43"/>
    <x v="2"/>
  </r>
  <r>
    <s v="Data Scientist"/>
    <s v="79-133"/>
    <n v="-1"/>
    <s v="Falcon It &amp; Staffing Solutions"/>
    <s v="Fort Belvoir, VA"/>
    <s v="Washington,DC"/>
    <x v="8"/>
    <n v="-1"/>
    <s v="Company - Public"/>
    <s v="-1"/>
    <x v="11"/>
    <s v="Unknown / Non-Applicable"/>
    <n v="-1"/>
    <n v="79"/>
    <n v="133"/>
    <n v="106"/>
    <x v="43"/>
    <x v="2"/>
  </r>
  <r>
    <s v="Data Scientist"/>
    <s v="79-133"/>
    <n v="-1"/>
    <s v="Rainmaker Resources, Llc"/>
    <s v="Cincinnati, OH"/>
    <s v="Cincinnati,OH"/>
    <x v="6"/>
    <n v="-1"/>
    <s v="Company - Private"/>
    <s v="-1"/>
    <x v="11"/>
    <s v="Unknown / Non-Applicable"/>
    <n v="-1"/>
    <n v="79"/>
    <n v="133"/>
    <n v="106"/>
    <x v="43"/>
    <x v="2"/>
  </r>
  <r>
    <s v="Data Engineer"/>
    <s v="79-133"/>
    <n v="4.4000000000000004"/>
    <s v="Rocket Lawyer"/>
    <s v="San Francisco, CA"/>
    <s v="San Francisco,CA"/>
    <x v="3"/>
    <n v="2008"/>
    <s v="Company - Private"/>
    <s v="Computer Hardware &amp; Software"/>
    <x v="3"/>
    <s v="$50 to $100 million (USD)"/>
    <n v="-1"/>
    <n v="79"/>
    <n v="133"/>
    <n v="106"/>
    <x v="29"/>
    <x v="1"/>
  </r>
  <r>
    <s v="Data Scientist"/>
    <s v="79-133"/>
    <n v="3.6"/>
    <s v="Datalab Usa"/>
    <s v="Germantown, MD"/>
    <s v="Germantown,MD"/>
    <x v="3"/>
    <n v="-1"/>
    <s v="Company - Private"/>
    <s v="IT Services"/>
    <x v="3"/>
    <s v="Unknown / Non-Applicable"/>
    <s v="Acxiom, Merkle, Epsilon (North Carolina)"/>
    <n v="79"/>
    <n v="133"/>
    <n v="106"/>
    <x v="43"/>
    <x v="2"/>
  </r>
  <r>
    <s v="Data Scientist"/>
    <s v="79-133"/>
    <n v="3.1"/>
    <s v="Werner Enterprises Inc"/>
    <s v="Omaha, NE"/>
    <s v="Omaha,NE"/>
    <x v="4"/>
    <n v="1956"/>
    <s v="Company - Public"/>
    <s v="Logistics &amp; Supply Chain"/>
    <x v="12"/>
    <s v="$2 to $5 billion (USD)"/>
    <n v="-1"/>
    <n v="79"/>
    <n v="133"/>
    <n v="106"/>
    <x v="96"/>
    <x v="0"/>
  </r>
  <r>
    <s v="Data Scientist"/>
    <s v="79-133"/>
    <n v="5"/>
    <s v="Peoplecom"/>
    <s v="McLean, VA"/>
    <s v="Reston,VA"/>
    <x v="6"/>
    <n v="-1"/>
    <s v="Company - Private"/>
    <s v="-1"/>
    <x v="11"/>
    <s v="$1 to $5 million (USD)"/>
    <n v="-1"/>
    <n v="79"/>
    <n v="133"/>
    <n v="106"/>
    <x v="43"/>
    <x v="2"/>
  </r>
  <r>
    <s v="Data Scientist - Machine Learning"/>
    <s v="79-133"/>
    <n v="5"/>
    <s v="Vanta Partners"/>
    <s v="Open Fork, VA"/>
    <s v="Clifton Park,NY"/>
    <x v="6"/>
    <n v="2018"/>
    <s v="Company - Private"/>
    <s v="Staffing &amp; Outsourcing"/>
    <x v="1"/>
    <s v="Unknown / Non-Applicable"/>
    <n v="-1"/>
    <n v="79"/>
    <n v="133"/>
    <n v="106"/>
    <x v="71"/>
    <x v="2"/>
  </r>
  <r>
    <s v="Data Scientist"/>
    <s v="79-133"/>
    <n v="-1"/>
    <s v="B4Corp"/>
    <s v="Reston, VA"/>
    <s v="Leesburg,VA"/>
    <x v="3"/>
    <n v="-1"/>
    <s v="Company - Private"/>
    <s v="IT Services"/>
    <x v="3"/>
    <s v="Unknown / Non-Applicable"/>
    <n v="-1"/>
    <n v="79"/>
    <n v="133"/>
    <n v="106"/>
    <x v="43"/>
    <x v="2"/>
  </r>
  <r>
    <s v="Data Scientist"/>
    <s v="79-133"/>
    <n v="-1"/>
    <s v="Blue Icy Water, Llc"/>
    <s v="United States"/>
    <s v="Livonia,MI"/>
    <x v="6"/>
    <n v="-1"/>
    <s v="Company - Private"/>
    <s v="-1"/>
    <x v="11"/>
    <s v="Unknown / Non-Applicable"/>
    <n v="-1"/>
    <n v="79"/>
    <n v="133"/>
    <n v="106"/>
    <x v="43"/>
    <x v="2"/>
  </r>
  <r>
    <s v="Data Scientist"/>
    <s v="79-133"/>
    <n v="3.5"/>
    <s v="Farmer'S Business Network, Inc"/>
    <s v="San Carlos, CA"/>
    <s v="San Carlos,CA"/>
    <x v="5"/>
    <n v="2014"/>
    <s v="Company - Private"/>
    <s v="Farm Support Services"/>
    <x v="17"/>
    <s v="Unknown / Non-Applicable"/>
    <n v="-1"/>
    <n v="79"/>
    <n v="133"/>
    <n v="106"/>
    <x v="9"/>
    <x v="1"/>
  </r>
  <r>
    <s v="Data Scientist"/>
    <s v="79-133"/>
    <n v="-1"/>
    <s v="Sonde Health"/>
    <s v="Boston, MA"/>
    <s v="Boston,MA"/>
    <x v="6"/>
    <n v="-1"/>
    <s v="Private Practice / Firm"/>
    <s v="Health Care Services &amp; Hospitals"/>
    <x v="8"/>
    <s v="Less than $1 million (USD)"/>
    <n v="-1"/>
    <n v="79"/>
    <n v="133"/>
    <n v="106"/>
    <x v="43"/>
    <x v="2"/>
  </r>
  <r>
    <s v="Data Scientist"/>
    <s v="79-133"/>
    <n v="5"/>
    <s v="Maxiom"/>
    <s v="Ashburn, VA"/>
    <s v="Ashburn,VA"/>
    <x v="6"/>
    <n v="-1"/>
    <s v="Company - Public"/>
    <s v="-1"/>
    <x v="11"/>
    <s v="Unknown / Non-Applicable"/>
    <n v="-1"/>
    <n v="79"/>
    <n v="133"/>
    <n v="106"/>
    <x v="43"/>
    <x v="2"/>
  </r>
  <r>
    <s v="Data Scientist"/>
    <s v="79-133"/>
    <n v="2.7"/>
    <s v="Change Healthcare"/>
    <s v="Lombard, IL"/>
    <s v="Nashville,TN"/>
    <x v="4"/>
    <n v="2007"/>
    <s v="Company - Public"/>
    <s v="IT Services"/>
    <x v="3"/>
    <s v="Unknown / Non-Applicable"/>
    <n v="-1"/>
    <n v="79"/>
    <n v="133"/>
    <n v="106"/>
    <x v="53"/>
    <x v="1"/>
  </r>
  <r>
    <s v="Data Scientist"/>
    <s v="79-133"/>
    <n v="4.0999999999999996"/>
    <s v="Dcs Corp"/>
    <s v="Hampton, VA"/>
    <s v="Alexandria,VA"/>
    <x v="0"/>
    <n v="1977"/>
    <s v="Company - Private"/>
    <s v="Research &amp; Development"/>
    <x v="1"/>
    <s v="$100 to $500 million (USD)"/>
    <n v="-1"/>
    <n v="79"/>
    <n v="133"/>
    <n v="106"/>
    <x v="97"/>
    <x v="0"/>
  </r>
  <r>
    <s v="Data Scientist"/>
    <s v="79-133"/>
    <n v="2.1"/>
    <s v="Hive (Ca"/>
    <s v="San Francisco, CA"/>
    <s v="Los Angeles,CA"/>
    <x v="8"/>
    <n v="2019"/>
    <s v="Company - Private"/>
    <s v="Telecommunications Services"/>
    <x v="14"/>
    <s v="Unknown / Non-Applicable"/>
    <n v="-1"/>
    <n v="79"/>
    <n v="133"/>
    <n v="106"/>
    <x v="27"/>
    <x v="2"/>
  </r>
  <r>
    <s v="Machine Learning Engineer/Scientist"/>
    <s v="79-133"/>
    <n v="4.8"/>
    <s v="Jane Street"/>
    <s v="New York, NY"/>
    <s v="New York,NY"/>
    <x v="2"/>
    <n v="2000"/>
    <s v="Company - Private"/>
    <s v="Investment Banking &amp; Asset Management"/>
    <x v="9"/>
    <s v="Unknown / Non-Applicable"/>
    <n v="-1"/>
    <n v="79"/>
    <n v="133"/>
    <n v="106"/>
    <x v="3"/>
    <x v="0"/>
  </r>
  <r>
    <s v="Data Scientist - Intermediate"/>
    <s v="69-116"/>
    <n v="4.5"/>
    <s v="Envision Llc"/>
    <s v="Saint Louis, MO"/>
    <s v="Saint Louis,MO"/>
    <x v="5"/>
    <n v="1994"/>
    <s v="Company - Private"/>
    <s v="Staffing &amp; Outsourcing"/>
    <x v="1"/>
    <s v="$25 to $50 million (USD)"/>
    <n v="-1"/>
    <n v="69"/>
    <n v="116"/>
    <n v="92.5"/>
    <x v="40"/>
    <x v="0"/>
  </r>
  <r>
    <s v="Principal Data Scientist"/>
    <s v="69-116"/>
    <n v="4"/>
    <s v="Autodesk"/>
    <s v="San Francisco, CA"/>
    <s v="San Rafael,CA"/>
    <x v="1"/>
    <n v="1982"/>
    <s v="Company - Public"/>
    <s v="Computer Hardware &amp; Software"/>
    <x v="3"/>
    <s v="$2 to $5 billion (USD)"/>
    <n v="-1"/>
    <n v="69"/>
    <n v="116"/>
    <n v="92.5"/>
    <x v="44"/>
    <x v="0"/>
  </r>
  <r>
    <s v="Data Scientist"/>
    <s v="69-116"/>
    <n v="3.3"/>
    <s v="Hackensack Meridian Health"/>
    <s v="Edison, NJ"/>
    <s v="Edison,NJ"/>
    <x v="4"/>
    <n v="-1"/>
    <s v="Nonprofit Organization"/>
    <s v="Health Care Services &amp; Hospitals"/>
    <x v="8"/>
    <s v="$5 to $10 billion (USD)"/>
    <n v="-1"/>
    <n v="69"/>
    <n v="116"/>
    <n v="92.5"/>
    <x v="43"/>
    <x v="2"/>
  </r>
  <r>
    <s v="Senior Data Scientist Вђ“ Image Analytics, Novartis Ai Innovation Lab"/>
    <s v="69-116"/>
    <n v="3.9"/>
    <s v="Novartis"/>
    <s v="Cambridge, MA"/>
    <s v="Basel,Switzerland"/>
    <x v="4"/>
    <n v="1996"/>
    <s v="Company - Public"/>
    <s v="Biotech &amp; Pharmaceuticals"/>
    <x v="4"/>
    <s v="$10+ billion (USD)"/>
    <n v="-1"/>
    <n v="69"/>
    <n v="116"/>
    <n v="92.5"/>
    <x v="6"/>
    <x v="0"/>
  </r>
  <r>
    <s v="Data Scientist"/>
    <s v="69-116"/>
    <n v="3.2"/>
    <s v="Net2Source Inc"/>
    <s v="Alpharetta, GA"/>
    <s v="Somerset,NJ"/>
    <x v="0"/>
    <n v="2007"/>
    <s v="Company - Private"/>
    <s v="Staffing &amp; Outsourcing"/>
    <x v="1"/>
    <s v="$100 to $500 million (USD)"/>
    <n v="-1"/>
    <n v="69"/>
    <n v="116"/>
    <n v="92.5"/>
    <x v="53"/>
    <x v="1"/>
  </r>
  <r>
    <s v="Data Scientist"/>
    <s v="69-116"/>
    <n v="3.2"/>
    <s v="The Trade Desk"/>
    <s v="Boulder, CO"/>
    <s v="Ventura,CA"/>
    <x v="0"/>
    <n v="2009"/>
    <s v="Company - Public"/>
    <s v="Internet"/>
    <x v="3"/>
    <s v="Unknown / Non-Applicable"/>
    <n v="-1"/>
    <n v="69"/>
    <n v="116"/>
    <n v="92.5"/>
    <x v="51"/>
    <x v="1"/>
  </r>
  <r>
    <s v="Data Scientist- Industrial Discrete Sector Industry"/>
    <s v="69-116"/>
    <n v="3.7"/>
    <s v="Ibm"/>
    <s v="Atlanta, GA"/>
    <s v="Armonk,NY"/>
    <x v="4"/>
    <n v="1911"/>
    <s v="Company - Public"/>
    <s v="IT Services"/>
    <x v="3"/>
    <s v="$10+ billion (USD)"/>
    <s v="Amazon, Accenture, Microsoft"/>
    <n v="69"/>
    <n v="116"/>
    <n v="92.5"/>
    <x v="50"/>
    <x v="0"/>
  </r>
  <r>
    <s v="Data Scientist"/>
    <s v="69-116"/>
    <n v="4.4000000000000004"/>
    <s v="Knowesis Inc"/>
    <s v="Falls Church, VA"/>
    <s v="Fairfax,VA"/>
    <x v="3"/>
    <n v="2007"/>
    <s v="Company - Private"/>
    <s v="Consulting"/>
    <x v="1"/>
    <s v="$25 to $50 million (USD)"/>
    <s v="Booz Allen Hamilton, Deloitte, ERPi"/>
    <n v="69"/>
    <n v="116"/>
    <n v="92.5"/>
    <x v="53"/>
    <x v="1"/>
  </r>
  <r>
    <s v="Data Scientist"/>
    <s v="69-116"/>
    <n v="3.1"/>
    <s v="Motek Technologies"/>
    <s v="Mountain View, CA"/>
    <s v="San Jose,CA"/>
    <x v="6"/>
    <n v="2009"/>
    <s v="Company - Private"/>
    <s v="IT Services"/>
    <x v="3"/>
    <s v="$1 to $5 million (USD)"/>
    <n v="-1"/>
    <n v="69"/>
    <n v="116"/>
    <n v="92.5"/>
    <x v="51"/>
    <x v="1"/>
  </r>
  <r>
    <s v="Data Scientist"/>
    <s v="69-116"/>
    <n v="3.3"/>
    <s v="The Davey Tree Expert Company"/>
    <s v="Kent, OH"/>
    <s v="Kent,OH"/>
    <x v="4"/>
    <n v="1880"/>
    <s v="Self-employed"/>
    <s v="Timber Operations"/>
    <x v="17"/>
    <s v="$1 to $2 billion (USD)"/>
    <s v="ACRT Services, Bartlett Tree Experts"/>
    <n v="69"/>
    <n v="116"/>
    <n v="92.5"/>
    <x v="85"/>
    <x v="0"/>
  </r>
  <r>
    <s v="Data Scientist"/>
    <s v="69-116"/>
    <n v="3.5"/>
    <s v="Hpone"/>
    <s v="Trumbull, CT"/>
    <s v="Trumbull,CT"/>
    <x v="2"/>
    <n v="2006"/>
    <s v="Company - Private"/>
    <s v="Insurance Carriers"/>
    <x v="0"/>
    <s v="$50 to $100 million (USD)"/>
    <n v="-1"/>
    <n v="69"/>
    <n v="116"/>
    <n v="92.5"/>
    <x v="39"/>
    <x v="1"/>
  </r>
  <r>
    <s v="Data Scientist"/>
    <s v="69-116"/>
    <n v="-1"/>
    <s v="Stride Search"/>
    <s v="San Francisco, CA"/>
    <s v="Westlake Village,CA"/>
    <x v="6"/>
    <n v="-1"/>
    <s v="Company - Private"/>
    <s v="-1"/>
    <x v="11"/>
    <s v="Less than $1 million (USD)"/>
    <n v="-1"/>
    <n v="69"/>
    <n v="116"/>
    <n v="92.5"/>
    <x v="43"/>
    <x v="2"/>
  </r>
  <r>
    <s v="Machine Learning Engineer"/>
    <s v="69-116"/>
    <n v="2.6"/>
    <s v="Software Engineering Institute"/>
    <s v="Pittsburgh, PA"/>
    <s v="Pittsburgh,PA"/>
    <x v="2"/>
    <n v="1984"/>
    <s v="College / University"/>
    <s v="Colleges &amp; Universities"/>
    <x v="18"/>
    <s v="Unknown / Non-Applicable"/>
    <n v="-1"/>
    <n v="69"/>
    <n v="116"/>
    <n v="92.5"/>
    <x v="83"/>
    <x v="0"/>
  </r>
  <r>
    <s v="Data Scientist"/>
    <s v="69-116"/>
    <n v="-1"/>
    <s v="Blue Cloak Llc"/>
    <s v="Sterling, VA"/>
    <n v="-1"/>
    <x v="7"/>
    <n v="-1"/>
    <s v="-1"/>
    <s v="-1"/>
    <x v="11"/>
    <s v="-1"/>
    <n v="-1"/>
    <n v="69"/>
    <n v="116"/>
    <n v="92.5"/>
    <x v="43"/>
    <x v="2"/>
  </r>
  <r>
    <s v="Data Scientist"/>
    <s v="69-116"/>
    <n v="2.7"/>
    <s v="Tbwa\Chiat\Day"/>
    <s v="New York, NY"/>
    <s v="New York,NY"/>
    <x v="0"/>
    <n v="1968"/>
    <s v="Company - Public"/>
    <s v="Advertising &amp; Marketing"/>
    <x v="1"/>
    <s v="$100 to $500 million (USD)"/>
    <n v="-1"/>
    <n v="69"/>
    <n v="116"/>
    <n v="92.5"/>
    <x v="1"/>
    <x v="0"/>
  </r>
  <r>
    <s v="Data Scientist"/>
    <s v="69-116"/>
    <n v="3.5"/>
    <s v="Threebridge Solutions"/>
    <s v="Alpharetta, GA"/>
    <s v="Minneapolis,MN"/>
    <x v="2"/>
    <n v="2009"/>
    <s v="Company - Private"/>
    <s v="Consulting"/>
    <x v="1"/>
    <s v="Unknown / Non-Applicable"/>
    <n v="-1"/>
    <n v="69"/>
    <n v="116"/>
    <n v="92.5"/>
    <x v="51"/>
    <x v="1"/>
  </r>
  <r>
    <s v="Data Scientist"/>
    <s v="69-116"/>
    <n v="3.2"/>
    <s v="Numeric, Llc"/>
    <s v="Philadelphia, PA"/>
    <s v="Chadds Ford,PA"/>
    <x v="6"/>
    <n v="-1"/>
    <s v="Company - Private"/>
    <s v="Staffing &amp; Outsourcing"/>
    <x v="1"/>
    <s v="$5 to $10 million (USD)"/>
    <n v="-1"/>
    <n v="69"/>
    <n v="116"/>
    <n v="92.5"/>
    <x v="43"/>
    <x v="2"/>
  </r>
  <r>
    <s v="Data Analyst - Unilever Prestige"/>
    <s v="69-116"/>
    <n v="3.8"/>
    <s v="Dermalogica"/>
    <s v="Carson, CA"/>
    <s v="Carson,CA"/>
    <x v="5"/>
    <n v="1986"/>
    <s v="Subsidiary or Business Segment"/>
    <s v="Consumer Products Manufacturing"/>
    <x v="2"/>
    <s v="$100 to $500 million (USD)"/>
    <s v="IMAGE Skincare, Aveda, Kiehl's"/>
    <n v="69"/>
    <n v="116"/>
    <n v="92.5"/>
    <x v="14"/>
    <x v="0"/>
  </r>
  <r>
    <s v="Data Scientist"/>
    <s v="69-116"/>
    <n v="4.2"/>
    <s v="Centraprise"/>
    <s v="Foster City, CA"/>
    <s v="Edison,NJ"/>
    <x v="3"/>
    <n v="-1"/>
    <s v="Company - Private"/>
    <s v="IT Services"/>
    <x v="3"/>
    <s v="Less than $1 million (USD)"/>
    <n v="-1"/>
    <n v="69"/>
    <n v="116"/>
    <n v="92.5"/>
    <x v="43"/>
    <x v="2"/>
  </r>
  <r>
    <s v="Data Scientist"/>
    <s v="69-116"/>
    <n v="4.8"/>
    <s v="Techprojects"/>
    <s v="New York, NY"/>
    <s v="North Brunswick,NJ"/>
    <x v="6"/>
    <n v="2011"/>
    <s v="Company - Private"/>
    <s v="IT Services"/>
    <x v="3"/>
    <s v="Unknown / Non-Applicable"/>
    <n v="-1"/>
    <n v="69"/>
    <n v="116"/>
    <n v="92.5"/>
    <x v="20"/>
    <x v="1"/>
  </r>
  <r>
    <s v="Data Scientist"/>
    <s v="69-116"/>
    <n v="4.2"/>
    <s v="Dw Simpson"/>
    <s v="Frederick, MD"/>
    <s v="Chicago,IL"/>
    <x v="3"/>
    <n v="1989"/>
    <s v="Company - Private"/>
    <s v="Staffing &amp; Outsourcing"/>
    <x v="1"/>
    <s v="$10 to $25 million (USD)"/>
    <n v="-1"/>
    <n v="69"/>
    <n v="116"/>
    <n v="92.5"/>
    <x v="90"/>
    <x v="0"/>
  </r>
  <r>
    <s v="Data &amp; Machine Learning Scientist"/>
    <s v="31-56"/>
    <n v="3.3"/>
    <s v="Tempus Labs"/>
    <s v="Chicago, IL"/>
    <s v="Chicago,IL"/>
    <x v="2"/>
    <n v="2015"/>
    <s v="Company - Private"/>
    <s v="Biotech &amp; Pharmaceuticals"/>
    <x v="4"/>
    <s v="Unknown / Non-Applicable"/>
    <n v="-1"/>
    <n v="31"/>
    <n v="56"/>
    <n v="43.5"/>
    <x v="16"/>
    <x v="1"/>
  </r>
  <r>
    <s v="Data Scientist"/>
    <s v="31-56"/>
    <n v="4"/>
    <s v="Grid Dynamics"/>
    <s v="Santa Clara, CA"/>
    <s v="San Ramon,CA"/>
    <x v="0"/>
    <n v="2006"/>
    <s v="Company - Private"/>
    <s v="Enterprise Software &amp; Network Solutions"/>
    <x v="3"/>
    <s v="$50 to $100 million (USD)"/>
    <s v="Luxoft, EPAM, Capgemini Invent"/>
    <n v="31"/>
    <n v="56"/>
    <n v="43.5"/>
    <x v="39"/>
    <x v="1"/>
  </r>
  <r>
    <s v="Vp, Data Science"/>
    <s v="31-56"/>
    <n v="3.9"/>
    <s v="7Park Data"/>
    <s v="New York, NY"/>
    <s v="New York,NY"/>
    <x v="3"/>
    <n v="2012"/>
    <s v="Company - Private"/>
    <s v="Research &amp; Development"/>
    <x v="1"/>
    <s v="Unknown / Non-Applicable"/>
    <n v="-1"/>
    <n v="31"/>
    <n v="56"/>
    <n v="43.5"/>
    <x v="10"/>
    <x v="1"/>
  </r>
  <r>
    <s v="Senior Business Intelligence Analyst"/>
    <s v="31-56"/>
    <n v="3.7"/>
    <s v="Protolabs"/>
    <s v="Maple Plain, MN"/>
    <s v="Maple Plain,MN"/>
    <x v="0"/>
    <n v="1999"/>
    <s v="Company - Public"/>
    <s v="Miscellaneous Manufacturing"/>
    <x v="2"/>
    <s v="$100 to $500 million (USD)"/>
    <n v="-1"/>
    <n v="31"/>
    <n v="56"/>
    <n v="43.5"/>
    <x v="30"/>
    <x v="0"/>
  </r>
  <r>
    <s v="Data Scientist"/>
    <s v="31-56"/>
    <n v="3.9"/>
    <s v="Linquest"/>
    <s v="Colorado Springs, CO"/>
    <s v="Los Angeles,CA"/>
    <x v="2"/>
    <n v="2004"/>
    <s v="Company - Private"/>
    <s v="Aerospace &amp; Defense"/>
    <x v="10"/>
    <s v="$50 to $100 million (USD)"/>
    <n v="-1"/>
    <n v="31"/>
    <n v="56"/>
    <n v="43.5"/>
    <x v="65"/>
    <x v="0"/>
  </r>
  <r>
    <s v="Data Engineer - Kafka"/>
    <s v="31-56"/>
    <n v="3.5"/>
    <s v="Western Digital"/>
    <s v="San Jose, CA"/>
    <s v="San Jose,CA"/>
    <x v="4"/>
    <n v="1970"/>
    <s v="Company - Public"/>
    <s v="Computer Hardware &amp; Software"/>
    <x v="3"/>
    <s v="$10+ billion (USD)"/>
    <s v="Seagate Technology, Toshiba"/>
    <n v="31"/>
    <n v="56"/>
    <n v="43.5"/>
    <x v="87"/>
    <x v="0"/>
  </r>
  <r>
    <s v="Data Scientist"/>
    <s v="31-56"/>
    <n v="4"/>
    <s v="Trexquant Investment"/>
    <s v="United States"/>
    <s v="Stamford,CT"/>
    <x v="6"/>
    <n v="2012"/>
    <s v="Company - Private"/>
    <s v="Investment Banking &amp; Asset Management"/>
    <x v="9"/>
    <s v="Unknown / Non-Applicable"/>
    <n v="-1"/>
    <n v="31"/>
    <n v="56"/>
    <n v="43.5"/>
    <x v="10"/>
    <x v="1"/>
  </r>
  <r>
    <s v="Data Scientist"/>
    <s v="31-56"/>
    <n v="3"/>
    <s v="Ameritas Life Insurance Corp"/>
    <s v="Cincinnati, OH"/>
    <s v="Lincoln,NE"/>
    <x v="0"/>
    <n v="1887"/>
    <s v="Company - Private"/>
    <s v="Insurance Agencies &amp; Brokerages"/>
    <x v="0"/>
    <s v="$2 to $5 billion (USD)"/>
    <n v="-1"/>
    <n v="31"/>
    <n v="56"/>
    <n v="43.5"/>
    <x v="86"/>
    <x v="0"/>
  </r>
  <r>
    <s v="Data Scientist"/>
    <s v="31-56"/>
    <n v="3.7"/>
    <s v="Fleetcor"/>
    <s v="Atlanta, GA"/>
    <s v="Atlanta,GA"/>
    <x v="1"/>
    <n v="2000"/>
    <s v="Company - Public"/>
    <s v="Financial Transaction Processing"/>
    <x v="9"/>
    <s v="$2 to $5 billion (USD)"/>
    <n v="-1"/>
    <n v="31"/>
    <n v="56"/>
    <n v="43.5"/>
    <x v="3"/>
    <x v="0"/>
  </r>
  <r>
    <s v="Data Scientist"/>
    <s v="31-56"/>
    <n v="4.5"/>
    <s v="Radiant Digital"/>
    <s v="Washington, DC"/>
    <s v="New York,NY"/>
    <x v="6"/>
    <n v="-1"/>
    <s v="Company - Private"/>
    <s v="-1"/>
    <x v="11"/>
    <s v="Less than $1 million (USD)"/>
    <n v="-1"/>
    <n v="31"/>
    <n v="56"/>
    <n v="43.5"/>
    <x v="43"/>
    <x v="2"/>
  </r>
  <r>
    <s v="Data Scientist"/>
    <s v="31-56"/>
    <n v="2.8"/>
    <s v="Child Care Aware Of America"/>
    <s v="Arlington, VA"/>
    <s v="Arlington,VA"/>
    <x v="3"/>
    <n v="1987"/>
    <s v="Nonprofit Organization"/>
    <s v="Social Assistance"/>
    <x v="20"/>
    <s v="$25 to $50 million (USD)"/>
    <n v="-1"/>
    <n v="31"/>
    <n v="56"/>
    <n v="43.5"/>
    <x v="98"/>
    <x v="0"/>
  </r>
  <r>
    <s v="Data Scientist"/>
    <s v="31-56"/>
    <n v="4.0999999999999996"/>
    <s v="Intellipro Group Inc"/>
    <s v="Santa Clara, CA"/>
    <s v="Santa Clara,CA"/>
    <x v="5"/>
    <n v="-1"/>
    <s v="Company - Private"/>
    <s v="-1"/>
    <x v="11"/>
    <s v="$10 to $25 million (USD)"/>
    <n v="-1"/>
    <n v="31"/>
    <n v="56"/>
    <n v="43.5"/>
    <x v="43"/>
    <x v="2"/>
  </r>
  <r>
    <s v="In-Line Inspection Data Analyst"/>
    <s v="31-56"/>
    <n v="2.9"/>
    <s v="Quest Integrity"/>
    <s v="Tulsa, OK"/>
    <s v="Kent,WA"/>
    <x v="5"/>
    <n v="1996"/>
    <s v="Company - Public"/>
    <s v="Oil &amp; Gas Services"/>
    <x v="6"/>
    <s v="$50 to $100 million (USD)"/>
    <n v="-1"/>
    <n v="31"/>
    <n v="56"/>
    <n v="43.5"/>
    <x v="6"/>
    <x v="0"/>
  </r>
  <r>
    <s v="Data Scientist"/>
    <s v="31-56"/>
    <n v="4.7"/>
    <s v="Praxis Engineering"/>
    <s v="Chantilly, VA"/>
    <s v="Annapolis Junction,MD"/>
    <x v="5"/>
    <n v="2002"/>
    <s v="Subsidiary or Business Segment"/>
    <s v="Computer Hardware &amp; Software"/>
    <x v="3"/>
    <s v="$100 to $500 million (USD)"/>
    <s v="Raytheon Technologies, Northrop Grumman, Booz Allen Hamilton"/>
    <n v="31"/>
    <n v="56"/>
    <n v="43.5"/>
    <x v="55"/>
    <x v="0"/>
  </r>
  <r>
    <s v="Data Scientist"/>
    <s v="31-56"/>
    <n v="3.4"/>
    <s v="Usi"/>
    <s v="Southfield, MI"/>
    <s v="Saint Paul,MN"/>
    <x v="0"/>
    <n v="1998"/>
    <s v="Company - Private"/>
    <s v="Construction"/>
    <x v="21"/>
    <s v="$100 to $500 million (USD)"/>
    <n v="-1"/>
    <n v="31"/>
    <n v="56"/>
    <n v="43.5"/>
    <x v="4"/>
    <x v="0"/>
  </r>
  <r>
    <s v="Data Scientist"/>
    <s v="31-56"/>
    <n v="3.9"/>
    <s v="Apex Systems"/>
    <s v="San Francisco, CA"/>
    <s v="Glen Allen,VA"/>
    <x v="0"/>
    <n v="1995"/>
    <s v="Subsidiary or Business Segment"/>
    <s v="Staffing &amp; Outsourcing"/>
    <x v="1"/>
    <s v="$2 to $5 billion (USD)"/>
    <s v="TEKsystems, Insight Global, Accenture"/>
    <n v="31"/>
    <n v="56"/>
    <n v="43.5"/>
    <x v="42"/>
    <x v="0"/>
  </r>
  <r>
    <s v="Data Scientist"/>
    <s v="31-56"/>
    <n v="2.9"/>
    <s v="Pragmatics, Inc"/>
    <s v="United States"/>
    <s v="Reston,VA"/>
    <x v="5"/>
    <n v="1985"/>
    <s v="Company - Private"/>
    <s v="IT Services"/>
    <x v="3"/>
    <s v="$100 to $500 million (USD)"/>
    <n v="-1"/>
    <n v="31"/>
    <n v="56"/>
    <n v="43.5"/>
    <x v="47"/>
    <x v="0"/>
  </r>
  <r>
    <s v="Decision Scientist"/>
    <s v="31-56"/>
    <n v="4.5"/>
    <s v="Johns Hopkins University Applied Physics Laboratory"/>
    <s v="Laurel, MD"/>
    <s v="Laurel,MD"/>
    <x v="1"/>
    <n v="1942"/>
    <s v="Nonprofit Organization"/>
    <s v="Aerospace &amp; Defense"/>
    <x v="10"/>
    <s v="$1 to $2 billion (USD)"/>
    <s v="MIT Lincoln Laboratory, Lockheed Martin, Northrop Grumman"/>
    <n v="31"/>
    <n v="56"/>
    <n v="43.5"/>
    <x v="88"/>
    <x v="0"/>
  </r>
  <r>
    <s v="Data Scientist"/>
    <s v="31-56"/>
    <n v="4.9000000000000004"/>
    <s v="Cambridge Mobile Telematics"/>
    <s v="Cambridge, MA"/>
    <s v="Cambridge,MA"/>
    <x v="6"/>
    <n v="2010"/>
    <s v="Company - Private"/>
    <s v="Enterprise Software &amp; Network Solutions"/>
    <x v="3"/>
    <s v="Unknown / Non-Applicable"/>
    <n v="-1"/>
    <n v="31"/>
    <n v="56"/>
    <n v="43.5"/>
    <x v="5"/>
    <x v="1"/>
  </r>
  <r>
    <s v="Data Scientist - Ts/Sci Fsp Or Ci Required"/>
    <s v="31-56"/>
    <n v="5"/>
    <s v="Phoenix Operations Group"/>
    <s v="Annapolis Junction, MD"/>
    <s v="Woodbine,MD"/>
    <x v="6"/>
    <n v="2011"/>
    <s v="Company - Private"/>
    <s v="IT Services"/>
    <x v="3"/>
    <s v="$1 to $5 million (USD)"/>
    <n v="-1"/>
    <n v="31"/>
    <n v="56"/>
    <n v="43.5"/>
    <x v="20"/>
    <x v="1"/>
  </r>
  <r>
    <s v="Data Scientist, Applied Machine Learning - Bay Area"/>
    <s v="95-119"/>
    <n v="3.3"/>
    <s v="Tempus Labs"/>
    <s v="Redwood City, CA"/>
    <s v="Chicago,IL"/>
    <x v="2"/>
    <n v="2015"/>
    <s v="Company - Private"/>
    <s v="Biotech &amp; Pharmaceuticals"/>
    <x v="4"/>
    <s v="Unknown / Non-Applicable"/>
    <n v="-1"/>
    <n v="95"/>
    <n v="119"/>
    <n v="107"/>
    <x v="16"/>
    <x v="1"/>
  </r>
  <r>
    <s v="Data Scientist"/>
    <s v="95-119"/>
    <n v="3.5"/>
    <s v="The Knot Worldwide"/>
    <s v="Washington, DC"/>
    <s v="Chevy Chase,MD"/>
    <x v="0"/>
    <n v="2019"/>
    <s v="Company - Private"/>
    <s v="Internet"/>
    <x v="3"/>
    <s v="Unknown / Non-Applicable"/>
    <s v="Zola Registry"/>
    <n v="95"/>
    <n v="119"/>
    <n v="107"/>
    <x v="27"/>
    <x v="2"/>
  </r>
  <r>
    <s v="Data Scientist"/>
    <s v="95-119"/>
    <n v="3.5"/>
    <s v="Crossover Health"/>
    <s v="San Clemente, CA"/>
    <s v="Aliso Viejo,CA"/>
    <x v="6"/>
    <n v="2010"/>
    <s v="Company - Private"/>
    <s v="Health Care Services &amp; Hospitals"/>
    <x v="8"/>
    <s v="$1 to $5 million (USD)"/>
    <n v="-1"/>
    <n v="95"/>
    <n v="119"/>
    <n v="107"/>
    <x v="5"/>
    <x v="1"/>
  </r>
  <r>
    <s v="Data Scientist"/>
    <s v="95-119"/>
    <n v="4"/>
    <s v="Lorven Technologies Inc"/>
    <s v="New York, NY"/>
    <s v="Plainsboro,NJ"/>
    <x v="6"/>
    <n v="-1"/>
    <s v="Company - Private"/>
    <s v="Accounting"/>
    <x v="19"/>
    <s v="Less than $1 million (USD)"/>
    <n v="-1"/>
    <n v="95"/>
    <n v="119"/>
    <n v="107"/>
    <x v="43"/>
    <x v="2"/>
  </r>
  <r>
    <s v="Data Analyst"/>
    <s v="95-119"/>
    <n v="3.9"/>
    <s v="Nolij Consulting"/>
    <s v="Falls Church, VA"/>
    <s v="Vienna,VA"/>
    <x v="3"/>
    <n v="2012"/>
    <s v="Company - Public"/>
    <s v="Consulting"/>
    <x v="1"/>
    <s v="$1 to $5 million (USD)"/>
    <n v="-1"/>
    <n v="95"/>
    <n v="119"/>
    <n v="107"/>
    <x v="10"/>
    <x v="1"/>
  </r>
  <r>
    <s v="Data Scientist"/>
    <s v="95-119"/>
    <n v="3.4"/>
    <s v="Dice.Com"/>
    <s v="Newton, MA"/>
    <s v="Denver,CO"/>
    <x v="5"/>
    <n v="1990"/>
    <s v="Subsidiary or Business Segment"/>
    <s v="Staffing &amp; Outsourcing"/>
    <x v="1"/>
    <s v="$100 to $500 million (USD)"/>
    <s v="Monster Worldwide, CareerBuilder, Craigslist"/>
    <n v="95"/>
    <n v="119"/>
    <n v="107"/>
    <x v="7"/>
    <x v="0"/>
  </r>
  <r>
    <s v="Data Scientist"/>
    <s v="95-119"/>
    <n v="3.5"/>
    <s v="Gap Inc"/>
    <s v="San Francisco, CA"/>
    <s v="San Francisco,CA"/>
    <x v="4"/>
    <n v="1969"/>
    <s v="Company - Public"/>
    <s v="Department, Clothing, &amp; Shoe Stores"/>
    <x v="5"/>
    <s v="$10+ billion (USD)"/>
    <s v="H&amp;M, Inditex, Fast Retailing"/>
    <n v="95"/>
    <n v="119"/>
    <n v="107"/>
    <x v="58"/>
    <x v="0"/>
  </r>
  <r>
    <s v="Data Scientist"/>
    <s v="95-119"/>
    <n v="4.7"/>
    <s v="Tygart Technology, Inc"/>
    <s v="Washington, DC"/>
    <s v="Fairmont,WV"/>
    <x v="6"/>
    <n v="-1"/>
    <s v="Company - Private"/>
    <s v="-1"/>
    <x v="11"/>
    <s v="$1 to $5 million (USD)"/>
    <n v="-1"/>
    <n v="95"/>
    <n v="119"/>
    <n v="107"/>
    <x v="43"/>
    <x v="2"/>
  </r>
  <r>
    <s v="Data Scientist"/>
    <s v="95-119"/>
    <n v="-1"/>
    <s v="Hatch Data Inc"/>
    <s v="San Francisco, CA"/>
    <n v="-1"/>
    <x v="7"/>
    <n v="-1"/>
    <s v="-1"/>
    <s v="-1"/>
    <x v="11"/>
    <s v="-1"/>
    <n v="-1"/>
    <n v="95"/>
    <n v="119"/>
    <n v="107"/>
    <x v="43"/>
    <x v="2"/>
  </r>
  <r>
    <s v="Data Scientist"/>
    <s v="95-119"/>
    <n v="-1"/>
    <s v="Hatch Data Inc"/>
    <s v="San Francisco, CA"/>
    <n v="-1"/>
    <x v="7"/>
    <n v="-1"/>
    <s v="-1"/>
    <s v="-1"/>
    <x v="11"/>
    <s v="-1"/>
    <n v="-1"/>
    <n v="95"/>
    <n v="119"/>
    <n v="107"/>
    <x v="43"/>
    <x v="2"/>
  </r>
  <r>
    <s v="Data Scientist"/>
    <s v="95-119"/>
    <n v="-1"/>
    <s v="Hatch Data Inc"/>
    <s v="San Francisco, CA"/>
    <n v="-1"/>
    <x v="7"/>
    <n v="-1"/>
    <s v="-1"/>
    <s v="-1"/>
    <x v="11"/>
    <s v="-1"/>
    <n v="-1"/>
    <n v="95"/>
    <n v="119"/>
    <n v="107"/>
    <x v="43"/>
    <x v="2"/>
  </r>
  <r>
    <s v="Data Scientist"/>
    <s v="95-119"/>
    <n v="-1"/>
    <s v="Hatch Data Inc"/>
    <s v="San Francisco, CA"/>
    <n v="-1"/>
    <x v="7"/>
    <n v="-1"/>
    <s v="-1"/>
    <s v="-1"/>
    <x v="11"/>
    <s v="-1"/>
    <n v="-1"/>
    <n v="95"/>
    <n v="119"/>
    <n v="107"/>
    <x v="43"/>
    <x v="2"/>
  </r>
  <r>
    <s v="Data Scientist"/>
    <s v="95-119"/>
    <n v="-1"/>
    <s v="Hatch Data Inc"/>
    <s v="San Francisco, CA"/>
    <n v="-1"/>
    <x v="7"/>
    <n v="-1"/>
    <s v="-1"/>
    <s v="-1"/>
    <x v="11"/>
    <s v="-1"/>
    <n v="-1"/>
    <n v="95"/>
    <n v="119"/>
    <n v="107"/>
    <x v="43"/>
    <x v="2"/>
  </r>
  <r>
    <s v="Data Scientist"/>
    <s v="95-119"/>
    <n v="-1"/>
    <s v="Hatch Data Inc"/>
    <s v="San Francisco, CA"/>
    <n v="-1"/>
    <x v="7"/>
    <n v="-1"/>
    <s v="-1"/>
    <s v="-1"/>
    <x v="11"/>
    <s v="-1"/>
    <n v="-1"/>
    <n v="95"/>
    <n v="119"/>
    <n v="107"/>
    <x v="43"/>
    <x v="2"/>
  </r>
  <r>
    <s v="Data Scientist"/>
    <s v="95-119"/>
    <n v="4.5999999999999996"/>
    <s v="Murray Resources"/>
    <s v="The Woodlands, TX"/>
    <s v="Houston,TX"/>
    <x v="6"/>
    <n v="1988"/>
    <s v="Company - Private"/>
    <s v="Staffing &amp; Outsourcing"/>
    <x v="1"/>
    <s v="$10 to $25 million (USD)"/>
    <n v="-1"/>
    <n v="95"/>
    <n v="119"/>
    <n v="107"/>
    <x v="18"/>
    <x v="0"/>
  </r>
  <r>
    <s v="Data Scientist"/>
    <s v="95-119"/>
    <n v="4"/>
    <s v="New York Technology Partners"/>
    <s v="Seattle, WA"/>
    <s v="Jersey City,NJ"/>
    <x v="3"/>
    <n v="1999"/>
    <s v="Company - Private"/>
    <s v="Computer Hardware &amp; Software"/>
    <x v="3"/>
    <s v="$10 to $25 million (USD)"/>
    <n v="-1"/>
    <n v="95"/>
    <n v="119"/>
    <n v="107"/>
    <x v="30"/>
    <x v="0"/>
  </r>
  <r>
    <s v="Data Scientist"/>
    <s v="95-119"/>
    <n v="4"/>
    <s v="Two95 International Inc"/>
    <s v="Chicago, IL"/>
    <s v="Cherry Hill,NJ"/>
    <x v="6"/>
    <n v="-1"/>
    <s v="Company - Private"/>
    <s v="Staffing &amp; Outsourcing"/>
    <x v="1"/>
    <s v="$1 to $5 million (USD)"/>
    <n v="-1"/>
    <n v="95"/>
    <n v="119"/>
    <n v="107"/>
    <x v="43"/>
    <x v="2"/>
  </r>
  <r>
    <s v="Data Scientist"/>
    <s v="95-119"/>
    <n v="-1"/>
    <s v="Sophinea"/>
    <s v="Chantilly, VA"/>
    <n v="-1"/>
    <x v="6"/>
    <n v="-1"/>
    <s v="Unknown"/>
    <s v="-1"/>
    <x v="11"/>
    <s v="Unknown / Non-Applicable"/>
    <n v="-1"/>
    <n v="95"/>
    <n v="119"/>
    <n v="107"/>
    <x v="43"/>
    <x v="2"/>
  </r>
  <r>
    <s v="Data Scientist"/>
    <s v="95-119"/>
    <n v="4.7"/>
    <s v="Crs Group"/>
    <s v="Chicago, IL"/>
    <s v="Itasca,IL"/>
    <x v="3"/>
    <n v="1994"/>
    <s v="Company - Private"/>
    <s v="Staffing &amp; Outsourcing"/>
    <x v="1"/>
    <s v="$10 to $25 million (USD)"/>
    <n v="-1"/>
    <n v="95"/>
    <n v="119"/>
    <n v="107"/>
    <x v="40"/>
    <x v="0"/>
  </r>
  <r>
    <s v="Data Scientist"/>
    <s v="95-119"/>
    <n v="3.5"/>
    <s v="Blackstone Talent Group"/>
    <s v="San Francisco, CA"/>
    <s v="San Francisco,CA"/>
    <x v="3"/>
    <n v="1998"/>
    <s v="Company - Private"/>
    <s v="Consulting"/>
    <x v="1"/>
    <s v="$25 to $50 million (USD)"/>
    <n v="-1"/>
    <n v="95"/>
    <n v="119"/>
    <n v="107"/>
    <x v="4"/>
    <x v="0"/>
  </r>
  <r>
    <s v="Data Scientist - Ts/Sci Required"/>
    <s v="95-119"/>
    <n v="5"/>
    <s v="Phoenix Operations Group"/>
    <s v="Baltimore, MD"/>
    <s v="Woodbine,MD"/>
    <x v="6"/>
    <n v="2011"/>
    <s v="Company - Private"/>
    <s v="IT Services"/>
    <x v="3"/>
    <s v="$1 to $5 million (USD)"/>
    <n v="-1"/>
    <n v="95"/>
    <n v="119"/>
    <n v="107"/>
    <x v="20"/>
    <x v="1"/>
  </r>
  <r>
    <s v="Senior Principal Data Scientist (Python/R)"/>
    <s v="212-331"/>
    <n v="4.0999999999999996"/>
    <s v="Roche"/>
    <s v="Pleasanton, CA"/>
    <s v="Basel,Switzerland"/>
    <x v="4"/>
    <n v="1896"/>
    <s v="Company - Public"/>
    <s v="Biotech &amp; Pharmaceuticals"/>
    <x v="4"/>
    <s v="$10+ billion (USD)"/>
    <s v="Novartis, AstraZeneca, Siemens Healthineers"/>
    <n v="212"/>
    <n v="331"/>
    <n v="271.5"/>
    <x v="99"/>
    <x v="0"/>
  </r>
  <r>
    <s v="Real World Science, Data Scientist"/>
    <s v="212-331"/>
    <n v="4"/>
    <s v="Astrazeneca"/>
    <s v="Wilmington, DE"/>
    <s v="Cambridge,United Kingdom"/>
    <x v="4"/>
    <n v="1913"/>
    <s v="Company - Public"/>
    <s v="Biotech &amp; Pharmaceuticals"/>
    <x v="4"/>
    <s v="$10+ billion (USD)"/>
    <s v="Roche, GlaxoSmithKline, Novartis"/>
    <n v="212"/>
    <n v="331"/>
    <n v="271.5"/>
    <x v="48"/>
    <x v="0"/>
  </r>
  <r>
    <s v="Data Scientist"/>
    <s v="212-331"/>
    <n v="3.6"/>
    <s v="Creative Circle"/>
    <s v="United States"/>
    <s v="Los Angeles,CA"/>
    <x v="5"/>
    <n v="2002"/>
    <s v="Company - Public"/>
    <s v="Staffing &amp; Outsourcing"/>
    <x v="1"/>
    <s v="Unknown / Non-Applicable"/>
    <s v="Aquent, 24 Seven Talent"/>
    <n v="212"/>
    <n v="331"/>
    <n v="271.5"/>
    <x v="55"/>
    <x v="0"/>
  </r>
  <r>
    <s v="Data Scientist(S)/Machine Learning Engineer"/>
    <s v="212-331"/>
    <n v="5"/>
    <s v="Blue Horizon Tek Solutions"/>
    <s v="New York, NY"/>
    <s v="Coconut Creek,FL"/>
    <x v="6"/>
    <n v="1987"/>
    <s v="Company - Private"/>
    <s v="Staffing &amp; Outsourcing"/>
    <x v="1"/>
    <s v="Unknown / Non-Applicable"/>
    <n v="-1"/>
    <n v="212"/>
    <n v="331"/>
    <n v="271.5"/>
    <x v="98"/>
    <x v="0"/>
  </r>
  <r>
    <s v="Senior Data Scientist"/>
    <s v="212-331"/>
    <n v="3.5"/>
    <s v="Maxar Technologies"/>
    <s v="Herndon, VA"/>
    <s v="Westminster,CO"/>
    <x v="1"/>
    <n v="-1"/>
    <s v="Company - Public"/>
    <s v="Aerospace &amp; Defense"/>
    <x v="10"/>
    <s v="$2 to $5 billion (USD)"/>
    <n v="-1"/>
    <n v="212"/>
    <n v="331"/>
    <n v="271.5"/>
    <x v="43"/>
    <x v="2"/>
  </r>
  <r>
    <s v="Data Scientist"/>
    <s v="212-331"/>
    <n v="4.7"/>
    <s v="Sharpedge Solutions Inc"/>
    <s v="Seattle, WA"/>
    <s v="Lombard,IL"/>
    <x v="8"/>
    <n v="-1"/>
    <s v="Company - Private"/>
    <s v="Publishing"/>
    <x v="13"/>
    <s v="Less than $1 million (USD)"/>
    <n v="-1"/>
    <n v="212"/>
    <n v="331"/>
    <n v="271.5"/>
    <x v="43"/>
    <x v="2"/>
  </r>
  <r>
    <s v="Data Scientist"/>
    <s v="212-331"/>
    <n v="3.5"/>
    <s v="Maxar Technologies"/>
    <s v="Herndon, VA"/>
    <s v="Westminster,CO"/>
    <x v="1"/>
    <n v="-1"/>
    <s v="Company - Public"/>
    <s v="Aerospace &amp; Defense"/>
    <x v="10"/>
    <s v="$2 to $5 billion (USD)"/>
    <n v="-1"/>
    <n v="212"/>
    <n v="331"/>
    <n v="271.5"/>
    <x v="43"/>
    <x v="2"/>
  </r>
  <r>
    <s v="Data Scientist"/>
    <s v="212-331"/>
    <n v="3.6"/>
    <s v="Alaka`Ina Foundation Family Of Companies"/>
    <s v="Fort Sam Houston, TX"/>
    <s v="Honolulu,HI"/>
    <x v="2"/>
    <n v="-1"/>
    <s v="Government"/>
    <s v="-1"/>
    <x v="11"/>
    <s v="Unknown / Non-Applicable"/>
    <n v="-1"/>
    <n v="212"/>
    <n v="331"/>
    <n v="271.5"/>
    <x v="43"/>
    <x v="2"/>
  </r>
  <r>
    <s v="Engineer - Computer Scientist - Research Computer Scientist - Signal Processing - San Antonio Or"/>
    <s v="212-331"/>
    <n v="3.9"/>
    <s v="Southwest Research Institute"/>
    <s v="Oklahoma City, OK"/>
    <s v="San Antonio,TX"/>
    <x v="0"/>
    <n v="1947"/>
    <s v="Nonprofit Organization"/>
    <s v="Research &amp; Development"/>
    <x v="1"/>
    <s v="$500 million to $1 billion (USD)"/>
    <s v="Los Alamos National Laboratory, Battelle, SRI International"/>
    <n v="212"/>
    <n v="331"/>
    <n v="271.5"/>
    <x v="69"/>
    <x v="0"/>
  </r>
  <r>
    <s v="Data Scientist"/>
    <s v="212-331"/>
    <n v="2.7"/>
    <s v="Hexagon Us Federal"/>
    <s v="Lexington Park, MD"/>
    <s v="Chantilly,VA"/>
    <x v="3"/>
    <n v="2010"/>
    <s v="Company - Public"/>
    <s v="Aerospace &amp; Defense"/>
    <x v="10"/>
    <s v="Unknown / Non-Applicable"/>
    <n v="-1"/>
    <n v="212"/>
    <n v="331"/>
    <n v="271.5"/>
    <x v="5"/>
    <x v="1"/>
  </r>
  <r>
    <s v="Data Science Software Engineer"/>
    <s v="212-331"/>
    <n v="4.8"/>
    <s v="Klaviyo"/>
    <s v="Boston, MA"/>
    <s v="Boston,MA"/>
    <x v="5"/>
    <n v="2012"/>
    <s v="Company - Private"/>
    <s v="Computer Hardware &amp; Software"/>
    <x v="3"/>
    <s v="Unknown / Non-Applicable"/>
    <n v="-1"/>
    <n v="212"/>
    <n v="331"/>
    <n v="271.5"/>
    <x v="10"/>
    <x v="1"/>
  </r>
  <r>
    <s v="Scientist / Group Lead, Cancer Biology"/>
    <s v="212-331"/>
    <n v="-1"/>
    <s v="Monte Rosa Therapeutics"/>
    <s v="Cambridge, MA"/>
    <n v="-1"/>
    <x v="7"/>
    <n v="-1"/>
    <s v="-1"/>
    <s v="-1"/>
    <x v="11"/>
    <s v="-1"/>
    <n v="-1"/>
    <n v="212"/>
    <n v="331"/>
    <n v="271.5"/>
    <x v="43"/>
    <x v="2"/>
  </r>
  <r>
    <s v="Data Scientist"/>
    <s v="212-331"/>
    <n v="4"/>
    <s v="Comtech Global Inc"/>
    <s v="Washington, DC"/>
    <s v="Columbus,OH"/>
    <x v="3"/>
    <n v="-1"/>
    <s v="Company - Private"/>
    <s v="Health, Beauty, &amp; Fitness"/>
    <x v="22"/>
    <s v="$5 to $10 million (USD)"/>
    <n v="-1"/>
    <n v="212"/>
    <n v="331"/>
    <n v="271.5"/>
    <x v="43"/>
    <x v="2"/>
  </r>
  <r>
    <s v="Data Scientist"/>
    <s v="212-331"/>
    <n v="3.8"/>
    <s v="Aveshka, Inc"/>
    <s v="Washington, DC"/>
    <s v="Arlington,VA"/>
    <x v="3"/>
    <n v="2010"/>
    <s v="Company - Public"/>
    <s v="IT Services"/>
    <x v="3"/>
    <s v="$10 to $25 million (USD)"/>
    <n v="-1"/>
    <n v="212"/>
    <n v="331"/>
    <n v="271.5"/>
    <x v="5"/>
    <x v="1"/>
  </r>
  <r>
    <s v="Manager, Field Application Scientist, Southeast"/>
    <s v="212-331"/>
    <n v="4.2"/>
    <s v="10X Genomics"/>
    <s v="Raleigh, NC"/>
    <s v="Pleasanton,CA"/>
    <x v="2"/>
    <n v="2012"/>
    <s v="Company - Public"/>
    <s v="Biotech &amp; Pharmaceuticals"/>
    <x v="4"/>
    <s v="Unknown / Non-Applicable"/>
    <n v="-1"/>
    <n v="212"/>
    <n v="331"/>
    <n v="271.5"/>
    <x v="10"/>
    <x v="1"/>
  </r>
  <r>
    <s v="Computer Scientist - Engineer - Research Computer Scientist - Signal Processing"/>
    <s v="212-331"/>
    <n v="3.9"/>
    <s v="Southwest Research Institute"/>
    <s v="Dayton, OH"/>
    <s v="San Antonio,TX"/>
    <x v="0"/>
    <n v="1947"/>
    <s v="Nonprofit Organization"/>
    <s v="Research &amp; Development"/>
    <x v="1"/>
    <s v="$500 million to $1 billion (USD)"/>
    <s v="Los Alamos National Laboratory, Battelle, SRI International"/>
    <n v="212"/>
    <n v="331"/>
    <n v="271.5"/>
    <x v="69"/>
    <x v="0"/>
  </r>
  <r>
    <s v="Data Scientist"/>
    <s v="212-331"/>
    <n v="-1"/>
    <s v="Compuforce"/>
    <s v="New York, NY"/>
    <s v="New York,NY"/>
    <x v="8"/>
    <n v="-1"/>
    <s v="Company - Private"/>
    <s v="-1"/>
    <x v="11"/>
    <s v="Unknown / Non-Applicable"/>
    <n v="-1"/>
    <n v="212"/>
    <n v="331"/>
    <n v="271.5"/>
    <x v="43"/>
    <x v="2"/>
  </r>
  <r>
    <s v="Data Scientist"/>
    <s v="212-331"/>
    <n v="4.5"/>
    <s v="Smith Hanley Associates"/>
    <s v="Washington, DC"/>
    <s v="New York,061"/>
    <x v="6"/>
    <n v="1980"/>
    <s v="Company - Private"/>
    <s v="Staffing &amp; Outsourcing"/>
    <x v="1"/>
    <s v="Unknown / Non-Applicable"/>
    <s v="Kforce, PageGroup, Robert Half"/>
    <n v="212"/>
    <n v="331"/>
    <n v="271.5"/>
    <x v="89"/>
    <x v="0"/>
  </r>
  <r>
    <s v="Scientist - Machine Learning"/>
    <s v="212-331"/>
    <n v="3.5"/>
    <s v="Allen Institute"/>
    <s v="Seattle, WA"/>
    <s v="Seattle,WA"/>
    <x v="5"/>
    <n v="2003"/>
    <s v="Nonprofit Organization"/>
    <s v="Research &amp; Development"/>
    <x v="1"/>
    <s v="$100 to $500 million (USD)"/>
    <n v="-1"/>
    <n v="212"/>
    <n v="331"/>
    <n v="271.5"/>
    <x v="24"/>
    <x v="0"/>
  </r>
  <r>
    <s v="Data Scientist"/>
    <s v="212-331"/>
    <n v="2.7"/>
    <s v="1-800-Flowers"/>
    <s v="New York, NY"/>
    <s v="Carle Place,NY"/>
    <x v="0"/>
    <n v="1976"/>
    <s v="Company - Public"/>
    <s v="Wholesale"/>
    <x v="1"/>
    <s v="$1 to $2 billion (USD)"/>
    <n v="-1"/>
    <n v="212"/>
    <n v="331"/>
    <n v="271.5"/>
    <x v="66"/>
    <x v="0"/>
  </r>
  <r>
    <s v="Data Scientist"/>
    <s v="212-331"/>
    <n v="3.5"/>
    <s v="Aptive"/>
    <s v="Washington, DC"/>
    <s v="Alexandria,VA"/>
    <x v="3"/>
    <n v="2012"/>
    <s v="Company - Private"/>
    <s v="Consulting"/>
    <x v="1"/>
    <s v="$25 to $50 million (USD)"/>
    <n v="-1"/>
    <n v="212"/>
    <n v="331"/>
    <n v="271.5"/>
    <x v="10"/>
    <x v="1"/>
  </r>
  <r>
    <s v="Data Scientist - Image And Video Analytics"/>
    <s v="66-112"/>
    <n v="4.9000000000000004"/>
    <s v="The Mom Project"/>
    <s v="Longmont, CO"/>
    <s v="Chicago,IL"/>
    <x v="6"/>
    <n v="2016"/>
    <s v="Company - Private"/>
    <s v="Staffing &amp; Outsourcing"/>
    <x v="1"/>
    <s v="Unknown / Non-Applicable"/>
    <n v="-1"/>
    <n v="66"/>
    <n v="112"/>
    <n v="89"/>
    <x v="11"/>
    <x v="1"/>
  </r>
  <r>
    <s v="Data Scientist"/>
    <s v="66-112"/>
    <n v="3.6"/>
    <s v="Powertek"/>
    <s v="Washington, DC"/>
    <s v="Rockville,MD"/>
    <x v="3"/>
    <n v="2001"/>
    <s v="Company - Private"/>
    <s v="IT Services"/>
    <x v="3"/>
    <s v="$25 to $50 million (USD)"/>
    <n v="-1"/>
    <n v="66"/>
    <n v="112"/>
    <n v="89"/>
    <x v="46"/>
    <x v="0"/>
  </r>
  <r>
    <s v="Data Scientist"/>
    <s v="66-112"/>
    <n v="5"/>
    <s v="Jcd Staffing"/>
    <s v="Washington, DC"/>
    <s v="Germantown,MD"/>
    <x v="6"/>
    <n v="-1"/>
    <s v="Company - Private"/>
    <s v="-1"/>
    <x v="11"/>
    <s v="Unknown / Non-Applicable"/>
    <n v="-1"/>
    <n v="66"/>
    <n v="112"/>
    <n v="89"/>
    <x v="43"/>
    <x v="2"/>
  </r>
  <r>
    <s v="Data Scientist"/>
    <s v="66-112"/>
    <n v="3.1"/>
    <s v="Bayside Solutions"/>
    <s v="Sunnyvale, CA"/>
    <s v="Pleasanton,CA"/>
    <x v="6"/>
    <n v="2001"/>
    <s v="Company - Private"/>
    <s v="Staffing &amp; Outsourcing"/>
    <x v="1"/>
    <s v="$1 to $5 million (USD)"/>
    <n v="-1"/>
    <n v="66"/>
    <n v="112"/>
    <n v="89"/>
    <x v="46"/>
    <x v="0"/>
  </r>
  <r>
    <s v="Senior Data Engineer"/>
    <s v="66-112"/>
    <n v="3.9"/>
    <s v="Thumbtack"/>
    <s v="San Francisco, CA"/>
    <s v="San Francisco,CA"/>
    <x v="2"/>
    <n v="2009"/>
    <s v="Company - Private"/>
    <s v="Internet"/>
    <x v="3"/>
    <s v="Unknown / Non-Applicable"/>
    <n v="-1"/>
    <n v="66"/>
    <n v="112"/>
    <n v="89"/>
    <x v="51"/>
    <x v="1"/>
  </r>
  <r>
    <s v="Data Scientist"/>
    <s v="66-112"/>
    <n v="3.4"/>
    <s v="Milvets Systems Technology, Inc"/>
    <s v="Patuxent, Anne Arundel, MD"/>
    <s v="Orlando,FL"/>
    <x v="3"/>
    <n v="1986"/>
    <s v="Company - Private"/>
    <s v="IT Services"/>
    <x v="3"/>
    <s v="$25 to $50 million (USD)"/>
    <n v="-1"/>
    <n v="66"/>
    <n v="112"/>
    <n v="89"/>
    <x v="14"/>
    <x v="0"/>
  </r>
  <r>
    <s v="Machine Learning Scientist / Engineer"/>
    <s v="66-112"/>
    <n v="4.0999999999999996"/>
    <s v="Apple"/>
    <s v="Santa Clara, CA"/>
    <s v="Cupertino,CA"/>
    <x v="4"/>
    <n v="1976"/>
    <s v="Company - Public"/>
    <s v="Computer Hardware &amp; Software"/>
    <x v="3"/>
    <s v="$10+ billion (USD)"/>
    <s v="Google, Microsoft, Samsung Electronics"/>
    <n v="66"/>
    <n v="112"/>
    <n v="89"/>
    <x v="66"/>
    <x v="0"/>
  </r>
  <r>
    <s v="Data Scientist"/>
    <s v="66-112"/>
    <n v="4.0999999999999996"/>
    <s v="Kforce"/>
    <s v="Fairfax, VA"/>
    <s v="Tampa,FL"/>
    <x v="4"/>
    <n v="1966"/>
    <s v="Company - Public"/>
    <s v="Staffing &amp; Outsourcing"/>
    <x v="1"/>
    <s v="$1 to $2 billion (USD)"/>
    <n v="-1"/>
    <n v="66"/>
    <n v="112"/>
    <n v="89"/>
    <x v="32"/>
    <x v="0"/>
  </r>
  <r>
    <s v="Sr. Data Scientist"/>
    <s v="66-112"/>
    <n v="3.5"/>
    <s v="Evolve Vacation Rental"/>
    <s v="Denver, CO"/>
    <s v="Denver,CO"/>
    <x v="5"/>
    <n v="2011"/>
    <s v="Company - Private"/>
    <s v="Travel Agencies"/>
    <x v="16"/>
    <s v="Unknown / Non-Applicable"/>
    <n v="-1"/>
    <n v="66"/>
    <n v="112"/>
    <n v="89"/>
    <x v="20"/>
    <x v="1"/>
  </r>
  <r>
    <s v="Intelligence Data Analyst, Senior"/>
    <s v="66-112"/>
    <n v="4.3"/>
    <s v="The Buffalo Group"/>
    <s v="Fort Belvoir, VA"/>
    <s v="Reston,VA"/>
    <x v="2"/>
    <n v="2010"/>
    <s v="Company - Private"/>
    <s v="IT Services"/>
    <x v="3"/>
    <s v="$100 to $500 million (USD)"/>
    <s v="ManTech, Booz Allen Hamilton, Leidos"/>
    <n v="66"/>
    <n v="112"/>
    <n v="89"/>
    <x v="5"/>
    <x v="1"/>
  </r>
  <r>
    <s v="Data Science Analyst"/>
    <s v="66-112"/>
    <n v="4.4000000000000004"/>
    <s v="Opploans"/>
    <s v="Chicago, IL"/>
    <s v="Chicago,IL"/>
    <x v="5"/>
    <n v="2012"/>
    <s v="Company - Private"/>
    <s v="Lending"/>
    <x v="9"/>
    <s v="$100 to $500 million (USD)"/>
    <n v="-1"/>
    <n v="66"/>
    <n v="112"/>
    <n v="89"/>
    <x v="10"/>
    <x v="1"/>
  </r>
  <r>
    <s v="Data Scientist"/>
    <s v="66-112"/>
    <n v="3.8"/>
    <s v="Agreeya Solutions"/>
    <s v="Thousand Oaks, CA"/>
    <s v="Folsom,CA"/>
    <x v="0"/>
    <n v="1999"/>
    <s v="Company - Private"/>
    <s v="IT Services"/>
    <x v="3"/>
    <s v="$50 to $100 million (USD)"/>
    <n v="-1"/>
    <n v="66"/>
    <n v="112"/>
    <n v="89"/>
    <x v="30"/>
    <x v="0"/>
  </r>
  <r>
    <s v="Data Scientist"/>
    <s v="66-112"/>
    <n v="3.7"/>
    <s v="Carolina Power &amp; Light Co"/>
    <s v="McLean, VA"/>
    <s v="Raleigh,NC"/>
    <x v="1"/>
    <n v="1908"/>
    <s v="Subsidiary or Business Segment"/>
    <s v="Energy"/>
    <x v="6"/>
    <s v="Unknown / Non-Applicable"/>
    <s v="South Carolina Electric &amp; Gas, Virginia Electric and Power"/>
    <n v="66"/>
    <n v="112"/>
    <n v="89"/>
    <x v="91"/>
    <x v="0"/>
  </r>
  <r>
    <s v="Computer Scientist - Engineer - Research Computer Scientist - Transportation Technology"/>
    <s v="66-112"/>
    <n v="3.9"/>
    <s v="Southwest Research Institute"/>
    <s v="San Antonio, TX"/>
    <s v="San Antonio,TX"/>
    <x v="0"/>
    <n v="1947"/>
    <s v="Nonprofit Organization"/>
    <s v="Research &amp; Development"/>
    <x v="1"/>
    <s v="$500 million to $1 billion (USD)"/>
    <s v="Los Alamos National Laboratory, Battelle, SRI International"/>
    <n v="66"/>
    <n v="112"/>
    <n v="89"/>
    <x v="69"/>
    <x v="0"/>
  </r>
  <r>
    <s v="Data Scientist"/>
    <s v="66-112"/>
    <n v="3.9"/>
    <s v="Brillient"/>
    <s v="Silver Spring, MD"/>
    <s v="Reston,VA"/>
    <x v="2"/>
    <n v="2006"/>
    <s v="Company - Private"/>
    <s v="IT Services"/>
    <x v="3"/>
    <s v="$25 to $50 million (USD)"/>
    <n v="-1"/>
    <n v="66"/>
    <n v="112"/>
    <n v="89"/>
    <x v="39"/>
    <x v="1"/>
  </r>
  <r>
    <s v="Data Modeler (Analytical Systems)"/>
    <s v="66-112"/>
    <n v="3.7"/>
    <s v="Massmutual"/>
    <s v="Boston, MA"/>
    <s v="Springfield,MA"/>
    <x v="1"/>
    <n v="1851"/>
    <s v="Company - Private"/>
    <s v="Insurance Carriers"/>
    <x v="0"/>
    <s v="$10+ billion (USD)"/>
    <n v="-1"/>
    <n v="66"/>
    <n v="112"/>
    <n v="89"/>
    <x v="64"/>
    <x v="0"/>
  </r>
  <r>
    <s v="Data Scientist"/>
    <s v="66-112"/>
    <n v="2.9"/>
    <s v="Xator Corporation"/>
    <s v="Washington, DC"/>
    <s v="Reston,VA"/>
    <x v="2"/>
    <n v="-1"/>
    <s v="Contract"/>
    <s v="IT Services"/>
    <x v="3"/>
    <s v="$25 to $50 million (USD)"/>
    <n v="-1"/>
    <n v="66"/>
    <n v="112"/>
    <n v="89"/>
    <x v="43"/>
    <x v="2"/>
  </r>
  <r>
    <s v="Data Scientist"/>
    <s v="66-112"/>
    <n v="4.5999999999999996"/>
    <s v="Han It Staffing Inc"/>
    <s v="New York, NY"/>
    <s v="Totowa,NJ"/>
    <x v="3"/>
    <n v="2012"/>
    <s v="Company - Private"/>
    <s v="IT Services"/>
    <x v="3"/>
    <s v="Unknown / Non-Applicable"/>
    <n v="-1"/>
    <n v="66"/>
    <n v="112"/>
    <n v="89"/>
    <x v="10"/>
    <x v="1"/>
  </r>
  <r>
    <s v="Data Scientist"/>
    <s v="66-112"/>
    <n v="3.4"/>
    <s v="Infinitive Inc"/>
    <s v="McLean, VA"/>
    <s v="Cedar Rapids,IA"/>
    <x v="5"/>
    <n v="1997"/>
    <s v="Company - Private"/>
    <s v="Enterprise Software &amp; Network Solutions"/>
    <x v="3"/>
    <s v="$10 to $25 million (USD)"/>
    <n v="-1"/>
    <n v="66"/>
    <n v="112"/>
    <n v="89"/>
    <x v="15"/>
    <x v="0"/>
  </r>
  <r>
    <s v="Data Engineer (Analytics, Sql, Python, Aws)"/>
    <s v="66-112"/>
    <n v="4"/>
    <s v="Travelers"/>
    <s v="Hartford, CT"/>
    <s v="Hartford,CT"/>
    <x v="4"/>
    <n v="1853"/>
    <s v="Company - Public"/>
    <s v="Insurance Carriers"/>
    <x v="0"/>
    <s v="$10+ billion (USD)"/>
    <n v="-1"/>
    <n v="66"/>
    <n v="112"/>
    <n v="89"/>
    <x v="92"/>
    <x v="0"/>
  </r>
  <r>
    <s v="Data Scientist 3 (718)"/>
    <s v="128-201"/>
    <n v="3.3"/>
    <s v="Amyris"/>
    <s v="Emeryville, CA"/>
    <s v="Emeryville,CA"/>
    <x v="5"/>
    <n v="2003"/>
    <s v="Company - Public"/>
    <s v="Biotech &amp; Pharmaceuticals"/>
    <x v="4"/>
    <s v="$100 to $500 million (USD)"/>
    <n v="-1"/>
    <n v="128"/>
    <n v="201"/>
    <n v="164.5"/>
    <x v="24"/>
    <x v="0"/>
  </r>
  <r>
    <s v="Data Scientist"/>
    <s v="128-201"/>
    <n v="4.3"/>
    <s v="Lightspeed Systems"/>
    <s v="Austin, TX"/>
    <s v="Austin,TX"/>
    <x v="3"/>
    <n v="1999"/>
    <s v="Company - Private"/>
    <s v="Computer Hardware &amp; Software"/>
    <x v="3"/>
    <s v="$25 to $50 million (USD)"/>
    <n v="-1"/>
    <n v="128"/>
    <n v="201"/>
    <n v="164.5"/>
    <x v="30"/>
    <x v="0"/>
  </r>
  <r>
    <s v="Senior Data Scientist"/>
    <s v="128-201"/>
    <n v="3.9"/>
    <s v="Thumbtack"/>
    <s v="San Francisco, CA"/>
    <s v="San Francisco,CA"/>
    <x v="2"/>
    <n v="2009"/>
    <s v="Company - Private"/>
    <s v="Internet"/>
    <x v="3"/>
    <s v="Unknown / Non-Applicable"/>
    <n v="-1"/>
    <n v="128"/>
    <n v="201"/>
    <n v="164.5"/>
    <x v="51"/>
    <x v="1"/>
  </r>
  <r>
    <s v="Senior Data Analyst - Finance &amp; Platform Analytics"/>
    <s v="128-201"/>
    <n v="3.6"/>
    <s v="Twitch"/>
    <s v="San Francisco, CA"/>
    <s v="San Francisco,CA"/>
    <x v="0"/>
    <n v="2011"/>
    <s v="Subsidiary or Business Segment"/>
    <s v="Internet"/>
    <x v="3"/>
    <s v="Unknown / Non-Applicable"/>
    <n v="-1"/>
    <n v="128"/>
    <n v="201"/>
    <n v="164.5"/>
    <x v="20"/>
    <x v="1"/>
  </r>
  <r>
    <s v="Software Engineer - Machine Learning &amp; Data Science (Applied Intelligence Services Team)"/>
    <s v="128-201"/>
    <n v="4.7"/>
    <s v="New Relic"/>
    <s v="Portland, OR"/>
    <s v="San Francisco,CA"/>
    <x v="0"/>
    <n v="2008"/>
    <s v="Company - Public"/>
    <s v="Computer Hardware &amp; Software"/>
    <x v="3"/>
    <s v="$100 to $500 million (USD)"/>
    <s v="AppDynamics, Datadog, Dynatrace"/>
    <n v="128"/>
    <n v="201"/>
    <n v="164.5"/>
    <x v="29"/>
    <x v="1"/>
  </r>
  <r>
    <s v="It Partner Digital Health Technology And Data Science"/>
    <s v="128-201"/>
    <n v="3.6"/>
    <s v="Biogen"/>
    <s v="Cambridge, MA"/>
    <s v="Cambridge,MA"/>
    <x v="1"/>
    <n v="1978"/>
    <s v="Company - Public"/>
    <s v="Biotech &amp; Pharmaceuticals"/>
    <x v="4"/>
    <s v="$10+ billion (USD)"/>
    <n v="-1"/>
    <n v="128"/>
    <n v="201"/>
    <n v="164.5"/>
    <x v="31"/>
    <x v="0"/>
  </r>
  <r>
    <s v="Data Scientist"/>
    <s v="128-201"/>
    <n v="-1"/>
    <s v="Hireai"/>
    <s v="San Francisco, CA"/>
    <n v="-1"/>
    <x v="7"/>
    <n v="-1"/>
    <s v="-1"/>
    <s v="-1"/>
    <x v="11"/>
    <s v="-1"/>
    <n v="-1"/>
    <n v="128"/>
    <n v="201"/>
    <n v="164.5"/>
    <x v="43"/>
    <x v="2"/>
  </r>
  <r>
    <s v="Senior Machine Learning Scientist - Bay Area, Ca"/>
    <s v="128-201"/>
    <n v="3.3"/>
    <s v="Tempus Labs"/>
    <s v="Redwood City, CA"/>
    <s v="Chicago,IL"/>
    <x v="2"/>
    <n v="2015"/>
    <s v="Company - Private"/>
    <s v="Biotech &amp; Pharmaceuticals"/>
    <x v="4"/>
    <s v="Unknown / Non-Applicable"/>
    <n v="-1"/>
    <n v="128"/>
    <n v="201"/>
    <n v="164.5"/>
    <x v="16"/>
    <x v="1"/>
  </r>
  <r>
    <s v="Data Scientist"/>
    <s v="128-201"/>
    <n v="3.3"/>
    <s v="Icw Group"/>
    <s v="San Diego, CA"/>
    <s v="San Diego,CA"/>
    <x v="2"/>
    <n v="1972"/>
    <s v="Company - Private"/>
    <s v="Insurance Carriers"/>
    <x v="0"/>
    <s v="$500 million to $1 billion (USD)"/>
    <s v="Liberty Mutual Insurance, EMPLOYERS, Travelers"/>
    <n v="128"/>
    <n v="201"/>
    <n v="164.5"/>
    <x v="100"/>
    <x v="0"/>
  </r>
  <r>
    <s v="Clinical Data Analyst"/>
    <s v="128-201"/>
    <n v="3.8"/>
    <s v="Nystec"/>
    <s v="New York, NY"/>
    <s v="Rome,NY"/>
    <x v="3"/>
    <n v="1996"/>
    <s v="Nonprofit Organization"/>
    <s v="Consulting"/>
    <x v="1"/>
    <s v="$25 to $50 million (USD)"/>
    <s v="KPMG, Accenture, Deloitte"/>
    <n v="128"/>
    <n v="201"/>
    <n v="164.5"/>
    <x v="6"/>
    <x v="0"/>
  </r>
  <r>
    <s v="Data Scientist"/>
    <s v="128-201"/>
    <n v="4.5"/>
    <s v="E3 Federal Solutions"/>
    <s v="Chantilly, VA"/>
    <s v="Mclean,VA"/>
    <x v="2"/>
    <n v="2004"/>
    <s v="Company - Private"/>
    <s v="Consulting"/>
    <x v="1"/>
    <s v="Unknown / Non-Applicable"/>
    <n v="-1"/>
    <n v="128"/>
    <n v="201"/>
    <n v="164.5"/>
    <x v="65"/>
    <x v="0"/>
  </r>
  <r>
    <s v="Data Engineer"/>
    <s v="128-201"/>
    <n v="4.5"/>
    <s v="Kingfisher Systems"/>
    <s v="Falls Church, VA"/>
    <s v="Falls Church,VA"/>
    <x v="3"/>
    <n v="2005"/>
    <s v="Company - Private"/>
    <s v="Federal Agencies"/>
    <x v="7"/>
    <s v="$25 to $50 million (USD)"/>
    <n v="-1"/>
    <n v="128"/>
    <n v="201"/>
    <n v="164.5"/>
    <x v="26"/>
    <x v="0"/>
  </r>
  <r>
    <s v="Data Scientist Technical Specialist"/>
    <s v="128-201"/>
    <n v="3.4"/>
    <s v="Peraton"/>
    <s v="Chantilly, VA"/>
    <s v="Herndon,VA"/>
    <x v="0"/>
    <n v="2017"/>
    <s v="Company - Private"/>
    <s v="Aerospace &amp; Defense"/>
    <x v="10"/>
    <s v="$1 to $2 billion (USD)"/>
    <n v="-1"/>
    <n v="128"/>
    <n v="201"/>
    <n v="164.5"/>
    <x v="19"/>
    <x v="2"/>
  </r>
  <r>
    <s v="Senior Data Scientist"/>
    <s v="128-201"/>
    <n v="3.1"/>
    <s v="Group O"/>
    <s v="Chicago, IL"/>
    <s v="Milan,IL"/>
    <x v="0"/>
    <n v="1974"/>
    <s v="Company - Private"/>
    <s v="Staffing &amp; Outsourcing"/>
    <x v="1"/>
    <s v="$500 million to $1 billion (USD)"/>
    <n v="-1"/>
    <n v="128"/>
    <n v="201"/>
    <n v="164.5"/>
    <x v="45"/>
    <x v="0"/>
  </r>
  <r>
    <s v="Data Science Manager"/>
    <s v="128-201"/>
    <n v="4"/>
    <s v="Autodesk"/>
    <s v="San Francisco, CA"/>
    <s v="San Rafael,CA"/>
    <x v="1"/>
    <n v="1982"/>
    <s v="Company - Public"/>
    <s v="Computer Hardware &amp; Software"/>
    <x v="3"/>
    <s v="$2 to $5 billion (USD)"/>
    <n v="-1"/>
    <n v="128"/>
    <n v="201"/>
    <n v="164.5"/>
    <x v="44"/>
    <x v="0"/>
  </r>
  <r>
    <s v="Computer Vision / Deep Learning Scientist"/>
    <s v="128-201"/>
    <n v="3.3"/>
    <s v="Tempus Labs"/>
    <s v="Chicago, IL"/>
    <s v="Chicago,IL"/>
    <x v="2"/>
    <n v="2015"/>
    <s v="Company - Private"/>
    <s v="Biotech &amp; Pharmaceuticals"/>
    <x v="4"/>
    <s v="Unknown / Non-Applicable"/>
    <n v="-1"/>
    <n v="128"/>
    <n v="201"/>
    <n v="164.5"/>
    <x v="16"/>
    <x v="1"/>
  </r>
  <r>
    <s v="Big Data Engineer"/>
    <s v="128-201"/>
    <n v="4.0999999999999996"/>
    <s v="Captiveaire"/>
    <s v="Raleigh, NC"/>
    <s v="Raleigh,NC"/>
    <x v="0"/>
    <n v="1976"/>
    <s v="Company - Private"/>
    <s v="Industrial Manufacturing"/>
    <x v="2"/>
    <s v="$100 to $500 million (USD)"/>
    <n v="-1"/>
    <n v="128"/>
    <n v="201"/>
    <n v="164.5"/>
    <x v="66"/>
    <x v="0"/>
  </r>
  <r>
    <s v="Data Architect"/>
    <s v="128-201"/>
    <n v="4.2"/>
    <s v="Lsq"/>
    <s v="Orlando, FL"/>
    <s v="Orlando,FL"/>
    <x v="3"/>
    <n v="1996"/>
    <s v="Company - Private"/>
    <s v="Investment Banking &amp; Asset Management"/>
    <x v="9"/>
    <s v="$100 to $500 million (USD)"/>
    <n v="-1"/>
    <n v="128"/>
    <n v="201"/>
    <n v="164.5"/>
    <x v="6"/>
    <x v="0"/>
  </r>
  <r>
    <s v="Machine Learning Engineer"/>
    <s v="128-201"/>
    <n v="3.9"/>
    <s v="Temboo"/>
    <s v="New York, NY"/>
    <s v="New York,NY"/>
    <x v="6"/>
    <n v="-1"/>
    <s v="Company - Private"/>
    <s v="IT Services"/>
    <x v="3"/>
    <s v="Unknown / Non-Applicable"/>
    <n v="-1"/>
    <n v="128"/>
    <n v="201"/>
    <n v="164.5"/>
    <x v="43"/>
    <x v="2"/>
  </r>
  <r>
    <s v="Data Scientist"/>
    <s v="128-201"/>
    <n v="-1"/>
    <s v="Kibo"/>
    <s v="Philadelphia, PA"/>
    <s v="Marbella,Spain"/>
    <x v="8"/>
    <n v="-1"/>
    <s v="Company - Public"/>
    <s v="-1"/>
    <x v="11"/>
    <s v="Unknown / Non-Applicable"/>
    <n v="-1"/>
    <n v="128"/>
    <n v="201"/>
    <n v="164.5"/>
    <x v="43"/>
    <x v="2"/>
  </r>
  <r>
    <s v="Aviation Ai/Ml Data Scientist"/>
    <s v="128-201"/>
    <n v="3.3"/>
    <s v="Mitre"/>
    <s v="McLean, VA"/>
    <s v="Bedford,MA"/>
    <x v="1"/>
    <n v="1958"/>
    <s v="Nonprofit Organization"/>
    <s v="Federal Agencies"/>
    <x v="7"/>
    <s v="$1 to $2 billion (USD)"/>
    <s v="Battelle, General Atomics, SAIC"/>
    <n v="128"/>
    <n v="201"/>
    <n v="164.5"/>
    <x v="34"/>
    <x v="0"/>
  </r>
  <r>
    <s v="Data Scientist"/>
    <s v="138-158"/>
    <n v="3.9"/>
    <s v="Mars"/>
    <s v="United States"/>
    <s v="Mc Lean,VA"/>
    <x v="4"/>
    <n v="1911"/>
    <s v="Company - Private"/>
    <s v="Food &amp; Beverage Manufacturing"/>
    <x v="2"/>
    <s v="$10+ billion (USD)"/>
    <n v="-1"/>
    <n v="138"/>
    <n v="158"/>
    <n v="148"/>
    <x v="50"/>
    <x v="0"/>
  </r>
  <r>
    <s v="Data Scientist / Applied Mathematician"/>
    <s v="138-158"/>
    <n v="4.5"/>
    <s v="Fullpower Technologies, Inc"/>
    <s v="Santa Cruz, CA"/>
    <s v="Santa Cruz,CA"/>
    <x v="3"/>
    <n v="2003"/>
    <s v="Company - Private"/>
    <s v="Computer Hardware &amp; Software"/>
    <x v="3"/>
    <s v="$10 to $25 million (USD)"/>
    <n v="-1"/>
    <n v="138"/>
    <n v="158"/>
    <n v="148"/>
    <x v="24"/>
    <x v="0"/>
  </r>
  <r>
    <s v="Machine Learning Engineer, Sr."/>
    <s v="138-158"/>
    <n v="4.2"/>
    <s v="Aerovironment"/>
    <s v="Simi Valley, CA"/>
    <s v="Simi Valley,CA"/>
    <x v="2"/>
    <n v="1971"/>
    <s v="Company - Public"/>
    <s v="Aerospace &amp; Defense"/>
    <x v="10"/>
    <s v="$100 to $500 million (USD)"/>
    <s v="General Atomics, Boeing, Northrop Grumman"/>
    <n v="138"/>
    <n v="158"/>
    <n v="148"/>
    <x v="49"/>
    <x v="0"/>
  </r>
  <r>
    <s v="Data Scientist (Ts/Sci W/ Poly)"/>
    <s v="138-158"/>
    <n v="3.5"/>
    <s v="Maxar Technologies"/>
    <s v="Herndon, VA"/>
    <s v="Westminster,CO"/>
    <x v="1"/>
    <n v="-1"/>
    <s v="Company - Public"/>
    <s v="Aerospace &amp; Defense"/>
    <x v="10"/>
    <s v="$2 to $5 billion (USD)"/>
    <n v="-1"/>
    <n v="138"/>
    <n v="158"/>
    <n v="148"/>
    <x v="43"/>
    <x v="2"/>
  </r>
  <r>
    <s v="Weapons And Sensors Engineer/Scientist"/>
    <s v="138-158"/>
    <n v="4"/>
    <s v="Dynetics"/>
    <s v="Huntsville, AL"/>
    <s v="Huntsville,AL"/>
    <x v="0"/>
    <n v="1974"/>
    <s v="Company - Private"/>
    <s v="Aerospace &amp; Defense"/>
    <x v="10"/>
    <s v="$100 to $500 million (USD)"/>
    <n v="-1"/>
    <n v="138"/>
    <n v="158"/>
    <n v="148"/>
    <x v="45"/>
    <x v="0"/>
  </r>
  <r>
    <s v="Applied Computer Scientist"/>
    <s v="138-158"/>
    <n v="4.5"/>
    <s v="Systems &amp; Technology Research"/>
    <s v="Woburn, MA"/>
    <s v="Woburn,MA"/>
    <x v="5"/>
    <n v="2010"/>
    <s v="Company - Private"/>
    <s v="Aerospace &amp; Defense"/>
    <x v="10"/>
    <s v="$100 to $500 million (USD)"/>
    <n v="-1"/>
    <n v="138"/>
    <n v="158"/>
    <n v="148"/>
    <x v="5"/>
    <x v="1"/>
  </r>
  <r>
    <s v="Senior Data Analyst"/>
    <s v="138-158"/>
    <n v="4.5"/>
    <s v="Novetta"/>
    <s v="Herndon, VA"/>
    <s v="Mc Lean,VA"/>
    <x v="2"/>
    <n v="2012"/>
    <s v="Company - Private"/>
    <s v="Enterprise Software &amp; Network Solutions"/>
    <x v="3"/>
    <s v="$100 to $500 million (USD)"/>
    <s v="Leidos, CACI International, Booz Allen Hamilton"/>
    <n v="138"/>
    <n v="158"/>
    <n v="148"/>
    <x v="10"/>
    <x v="1"/>
  </r>
  <r>
    <s v="Information Systems Engineering Specialist (Engineering Scientist)"/>
    <s v="138-158"/>
    <n v="3.8"/>
    <s v="Applied Research Laboratories"/>
    <s v="Austin, TX"/>
    <s v="Austin,TX"/>
    <x v="2"/>
    <n v="-1"/>
    <s v="College / University"/>
    <s v="Colleges &amp; Universities"/>
    <x v="18"/>
    <s v="Unknown / Non-Applicable"/>
    <n v="-1"/>
    <n v="138"/>
    <n v="158"/>
    <n v="148"/>
    <x v="43"/>
    <x v="2"/>
  </r>
  <r>
    <s v="Cloud Data Engineer (Azure)"/>
    <s v="138-158"/>
    <n v="3.9"/>
    <s v="Navy Federal Credit Union"/>
    <s v="Merrifield, VA"/>
    <s v="Vienna,VA"/>
    <x v="4"/>
    <n v="1933"/>
    <s v="Other Organization"/>
    <s v="Banks &amp; Credit Unions"/>
    <x v="9"/>
    <s v="Unknown / Non-Applicable"/>
    <n v="-1"/>
    <n v="138"/>
    <n v="158"/>
    <n v="148"/>
    <x v="84"/>
    <x v="0"/>
  </r>
  <r>
    <s v="Scientist/Research Associate-Metabolic Engineering"/>
    <s v="138-158"/>
    <n v="2"/>
    <s v="Conagen"/>
    <s v="New Bedford, MA"/>
    <s v="Bedford,MA"/>
    <x v="3"/>
    <n v="-1"/>
    <s v="Company - Private"/>
    <s v="Biotech &amp; Pharmaceuticals"/>
    <x v="4"/>
    <s v="Unknown / Non-Applicable"/>
    <n v="-1"/>
    <n v="138"/>
    <n v="158"/>
    <n v="148"/>
    <x v="43"/>
    <x v="2"/>
  </r>
  <r>
    <s v="Vice President, Biometrics And Clinical Data Management"/>
    <s v="138-158"/>
    <n v="4.8"/>
    <s v="Alector"/>
    <s v="South San Francisco, CA"/>
    <s v="South San Francisco,CA"/>
    <x v="3"/>
    <n v="2013"/>
    <s v="Company - Public"/>
    <s v="Biotech &amp; Pharmaceuticals"/>
    <x v="4"/>
    <s v="Unknown / Non-Applicable"/>
    <n v="-1"/>
    <n v="138"/>
    <n v="158"/>
    <n v="148"/>
    <x v="35"/>
    <x v="1"/>
  </r>
  <r>
    <s v="Enterprise Data Analyst (Enterprise Portfolio Management Office)"/>
    <s v="138-158"/>
    <n v="3.9"/>
    <s v="Navy Federal Credit Union"/>
    <s v="Merrifield, VA"/>
    <s v="Vienna,VA"/>
    <x v="4"/>
    <n v="1933"/>
    <s v="Other Organization"/>
    <s v="Banks &amp; Credit Unions"/>
    <x v="9"/>
    <s v="Unknown / Non-Applicable"/>
    <n v="-1"/>
    <n v="138"/>
    <n v="158"/>
    <n v="148"/>
    <x v="84"/>
    <x v="0"/>
  </r>
  <r>
    <s v="Senior Scientist - Toxicologist - Product Integrity (Stewardship)"/>
    <s v="138-158"/>
    <n v="3.3"/>
    <s v="Reynolds American"/>
    <s v="Winston-Salem, NC"/>
    <s v="Winston-Salem,NC"/>
    <x v="1"/>
    <n v="1875"/>
    <s v="Company - Private"/>
    <s v="Consumer Products Manufacturing"/>
    <x v="2"/>
    <s v="$10+ billion (USD)"/>
    <n v="-1"/>
    <n v="138"/>
    <n v="158"/>
    <n v="148"/>
    <x v="93"/>
    <x v="0"/>
  </r>
  <r>
    <s v="Lead Data Scientist Вђ“ Network Analysis And Control"/>
    <s v="138-158"/>
    <n v="3.3"/>
    <s v="Mitre"/>
    <s v="Bedford, MA"/>
    <s v="Bedford,MA"/>
    <x v="1"/>
    <n v="1958"/>
    <s v="Nonprofit Organization"/>
    <s v="Federal Agencies"/>
    <x v="7"/>
    <s v="$1 to $2 billion (USD)"/>
    <s v="Battelle, General Atomics, SAIC"/>
    <n v="138"/>
    <n v="158"/>
    <n v="148"/>
    <x v="34"/>
    <x v="0"/>
  </r>
  <r>
    <s v="Senior Machine Learning Engineer"/>
    <s v="138-158"/>
    <n v="5"/>
    <s v="Lifeomic"/>
    <s v="Raleigh, NC"/>
    <s v="Indianapolis,IN"/>
    <x v="3"/>
    <n v="2016"/>
    <s v="Company - Private"/>
    <s v="Enterprise Software &amp; Network Solutions"/>
    <x v="3"/>
    <s v="Unknown / Non-Applicable"/>
    <n v="-1"/>
    <n v="138"/>
    <n v="158"/>
    <n v="148"/>
    <x v="11"/>
    <x v="1"/>
  </r>
  <r>
    <s v="Sr. Research Associate/ Scientist, Ngs Prep &amp; Molecular Genomics"/>
    <s v="138-158"/>
    <n v="4.4000000000000004"/>
    <s v="Homology Medicines, Inc"/>
    <s v="New Bedford, MA"/>
    <s v="Bedford,MA"/>
    <x v="3"/>
    <n v="-1"/>
    <s v="Company - Public"/>
    <s v="-1"/>
    <x v="11"/>
    <s v="Unknown / Non-Applicable"/>
    <n v="-1"/>
    <n v="138"/>
    <n v="158"/>
    <n v="148"/>
    <x v="43"/>
    <x v="2"/>
  </r>
  <r>
    <s v="Data Engineer"/>
    <s v="138-158"/>
    <n v="3.4"/>
    <s v="Spectrum Communications And Consulting"/>
    <s v="Chicago, IL"/>
    <s v="Chicago,IL"/>
    <x v="3"/>
    <n v="1992"/>
    <s v="Company - Private"/>
    <s v="Advertising &amp; Marketing"/>
    <x v="1"/>
    <s v="$10 to $25 million (USD)"/>
    <n v="-1"/>
    <n v="138"/>
    <n v="158"/>
    <n v="148"/>
    <x v="23"/>
    <x v="0"/>
  </r>
  <r>
    <s v="Developer Iii - Data Science"/>
    <s v="138-158"/>
    <n v="3.3"/>
    <s v="Inland Empire Health Plan"/>
    <s v="Rancho Cucamonga, CA"/>
    <s v="Rancho Cucamonga,CA"/>
    <x v="0"/>
    <n v="1996"/>
    <s v="Company - Public"/>
    <s v="Health Care Services &amp; Hospitals"/>
    <x v="8"/>
    <s v="$1 to $2 billion (USD)"/>
    <n v="-1"/>
    <n v="138"/>
    <n v="158"/>
    <n v="148"/>
    <x v="6"/>
    <x v="0"/>
  </r>
  <r>
    <s v="Senior Data Engineer"/>
    <s v="138-158"/>
    <n v="2.9"/>
    <s v="Affinity Solutions"/>
    <s v="New York, NY"/>
    <s v="New York,NY"/>
    <x v="3"/>
    <n v="1998"/>
    <s v="Company - Private"/>
    <s v="Advertising &amp; Marketing"/>
    <x v="1"/>
    <s v="Unknown / Non-Applicable"/>
    <s v="Commerce Signals, Cardlytics, Yodlee"/>
    <n v="138"/>
    <n v="158"/>
    <n v="148"/>
    <x v="4"/>
    <x v="0"/>
  </r>
  <r>
    <s v="Hydrogen/Tritium Materials Scientist (Experienced)"/>
    <s v="138-158"/>
    <n v="3.8"/>
    <s v="Sandia National Laboratories"/>
    <s v="Livermore, CA"/>
    <s v="Albuquerque,NM"/>
    <x v="4"/>
    <n v="1949"/>
    <s v="Government"/>
    <s v="Federal Agencies"/>
    <x v="7"/>
    <s v="$2 to $5 billion (USD)"/>
    <s v="Los Alamos National Laboratory, Lawrence Livermore National Laboratory"/>
    <n v="138"/>
    <n v="158"/>
    <n v="148"/>
    <x v="101"/>
    <x v="0"/>
  </r>
  <r>
    <s v="Data Engineer"/>
    <s v="138-158"/>
    <n v="3.5"/>
    <s v="Maxar Technologies"/>
    <s v="McLean, VA"/>
    <s v="Westminster,CO"/>
    <x v="1"/>
    <n v="-1"/>
    <s v="Company - Public"/>
    <s v="Aerospace &amp; Defense"/>
    <x v="10"/>
    <s v="$2 to $5 billion (USD)"/>
    <n v="-1"/>
    <n v="138"/>
    <n v="158"/>
    <n v="148"/>
    <x v="43"/>
    <x v="2"/>
  </r>
  <r>
    <s v="Patient Safety- Associate Data Scientist"/>
    <s v="80-132"/>
    <n v="4"/>
    <s v="Astrazeneca"/>
    <s v="Gaithersburg, MD"/>
    <s v="Cambridge,United Kingdom"/>
    <x v="4"/>
    <n v="1913"/>
    <s v="Company - Public"/>
    <s v="Biotech &amp; Pharmaceuticals"/>
    <x v="4"/>
    <s v="$10+ billion (USD)"/>
    <s v="Roche, GlaxoSmithKline, Novartis"/>
    <n v="80"/>
    <n v="132"/>
    <n v="106"/>
    <x v="48"/>
    <x v="0"/>
  </r>
  <r>
    <s v="Senior Data Scientist"/>
    <s v="80-132"/>
    <n v="4"/>
    <s v="Autodesk"/>
    <s v="San Francisco, CA"/>
    <s v="San Rafael,CA"/>
    <x v="1"/>
    <n v="1982"/>
    <s v="Company - Public"/>
    <s v="Computer Hardware &amp; Software"/>
    <x v="3"/>
    <s v="$2 to $5 billion (USD)"/>
    <n v="-1"/>
    <n v="80"/>
    <n v="132"/>
    <n v="106"/>
    <x v="44"/>
    <x v="0"/>
  </r>
  <r>
    <s v="Data Scientist"/>
    <s v="80-132"/>
    <n v="3.4"/>
    <s v="Usi"/>
    <s v="Southfield, MI"/>
    <s v="Saint Paul,MN"/>
    <x v="0"/>
    <n v="1998"/>
    <s v="Company - Private"/>
    <s v="Construction"/>
    <x v="21"/>
    <s v="$100 to $500 million (USD)"/>
    <n v="-1"/>
    <n v="80"/>
    <n v="132"/>
    <n v="106"/>
    <x v="4"/>
    <x v="0"/>
  </r>
  <r>
    <s v="Data Scientist"/>
    <s v="80-132"/>
    <n v="3.9"/>
    <s v="Gsk"/>
    <s v="Collegeville, PA"/>
    <s v="Brentford,United Kingdom"/>
    <x v="4"/>
    <n v="1830"/>
    <s v="Company - Public"/>
    <s v="Biotech &amp; Pharmaceuticals"/>
    <x v="4"/>
    <s v="$10+ billion (USD)"/>
    <s v="Pfizer, AstraZeneca, Merck"/>
    <n v="80"/>
    <n v="132"/>
    <n v="106"/>
    <x v="82"/>
    <x v="0"/>
  </r>
  <r>
    <s v="Data Scientist"/>
    <s v="80-132"/>
    <n v="3.8"/>
    <s v="Cia"/>
    <s v="Washington, DC"/>
    <s v="Langley,VA"/>
    <x v="8"/>
    <n v="1947"/>
    <s v="Government"/>
    <s v="Federal Agencies"/>
    <x v="7"/>
    <s v="Unknown / Non-Applicable"/>
    <n v="-1"/>
    <n v="80"/>
    <n v="132"/>
    <n v="106"/>
    <x v="69"/>
    <x v="0"/>
  </r>
  <r>
    <s v="Data Scientist"/>
    <s v="80-132"/>
    <n v="4.5"/>
    <s v="Maven Wave Partners"/>
    <s v="Chicago, IL"/>
    <s v="Chicago,IL"/>
    <x v="5"/>
    <n v="2008"/>
    <s v="Company - Private"/>
    <s v="Consulting"/>
    <x v="1"/>
    <s v="$50 to $100 million (USD)"/>
    <n v="-1"/>
    <n v="80"/>
    <n v="132"/>
    <n v="106"/>
    <x v="29"/>
    <x v="1"/>
  </r>
  <r>
    <s v="Data Scientist"/>
    <s v="80-132"/>
    <n v="4.3"/>
    <s v="Ovative Group"/>
    <s v="Minneapolis, MN"/>
    <s v="Minneapolis,MN"/>
    <x v="3"/>
    <n v="2009"/>
    <s v="Company - Private"/>
    <s v="Advertising &amp; Marketing"/>
    <x v="1"/>
    <s v="$10 to $25 million (USD)"/>
    <n v="-1"/>
    <n v="80"/>
    <n v="132"/>
    <n v="106"/>
    <x v="51"/>
    <x v="1"/>
  </r>
  <r>
    <s v="Data Scientist"/>
    <s v="80-132"/>
    <n v="3.6"/>
    <s v="Kognetics"/>
    <s v="Gahanna, OH"/>
    <s v="New York,NY"/>
    <x v="6"/>
    <n v="-1"/>
    <s v="Company - Private"/>
    <s v="-1"/>
    <x v="11"/>
    <s v="Unknown / Non-Applicable"/>
    <n v="-1"/>
    <n v="80"/>
    <n v="132"/>
    <n v="106"/>
    <x v="43"/>
    <x v="2"/>
  </r>
  <r>
    <s v="Data Scientist"/>
    <s v="80-132"/>
    <n v="2.9"/>
    <s v="Envision Healthcare"/>
    <s v="Nashville, TN"/>
    <s v="Nashville,TN"/>
    <x v="4"/>
    <n v="2005"/>
    <s v="Company - Private"/>
    <s v="Health Care Services &amp; Hospitals"/>
    <x v="8"/>
    <s v="Unknown / Non-Applicable"/>
    <n v="-1"/>
    <n v="80"/>
    <n v="132"/>
    <n v="106"/>
    <x v="26"/>
    <x v="0"/>
  </r>
  <r>
    <s v="Data Scientist"/>
    <s v="80-132"/>
    <n v="2.9"/>
    <s v="Pragmatics, Inc"/>
    <s v="United States"/>
    <s v="Reston,VA"/>
    <x v="5"/>
    <n v="1985"/>
    <s v="Company - Private"/>
    <s v="IT Services"/>
    <x v="3"/>
    <s v="$100 to $500 million (USD)"/>
    <n v="-1"/>
    <n v="80"/>
    <n v="132"/>
    <n v="106"/>
    <x v="47"/>
    <x v="0"/>
  </r>
  <r>
    <s v="Data Scientist"/>
    <s v="80-132"/>
    <n v="3.2"/>
    <s v="Consumertrack"/>
    <s v="California"/>
    <s v="Los Angeles,CA"/>
    <x v="3"/>
    <n v="2004"/>
    <s v="Company - Private"/>
    <s v="Internet"/>
    <x v="3"/>
    <s v="$25 to $50 million (USD)"/>
    <n v="-1"/>
    <n v="80"/>
    <n v="132"/>
    <n v="106"/>
    <x v="65"/>
    <x v="0"/>
  </r>
  <r>
    <s v="Decision Scientist"/>
    <s v="80-132"/>
    <n v="4.5"/>
    <s v="Johns Hopkins University Applied Physics Laboratory"/>
    <s v="Laurel, MD"/>
    <s v="Laurel,MD"/>
    <x v="1"/>
    <n v="1942"/>
    <s v="Nonprofit Organization"/>
    <s v="Aerospace &amp; Defense"/>
    <x v="10"/>
    <s v="$1 to $2 billion (USD)"/>
    <s v="MIT Lincoln Laboratory, Lockheed Martin, Northrop Grumman"/>
    <n v="80"/>
    <n v="132"/>
    <n v="106"/>
    <x v="88"/>
    <x v="0"/>
  </r>
  <r>
    <s v="Data Scientist - Ts/Sci Fsp Or Ci Required"/>
    <s v="80-132"/>
    <n v="5"/>
    <s v="Phoenix Operations Group"/>
    <s v="Annapolis Junction, MD"/>
    <s v="Woodbine,MD"/>
    <x v="6"/>
    <n v="2011"/>
    <s v="Company - Private"/>
    <s v="IT Services"/>
    <x v="3"/>
    <s v="$1 to $5 million (USD)"/>
    <n v="-1"/>
    <n v="80"/>
    <n v="132"/>
    <n v="106"/>
    <x v="20"/>
    <x v="1"/>
  </r>
  <r>
    <s v="Data Scientist"/>
    <s v="80-132"/>
    <n v="3.5"/>
    <s v="Crossover Health"/>
    <s v="San Clemente, CA"/>
    <s v="Aliso Viejo,CA"/>
    <x v="6"/>
    <n v="2010"/>
    <s v="Company - Private"/>
    <s v="Health Care Services &amp; Hospitals"/>
    <x v="8"/>
    <s v="$1 to $5 million (USD)"/>
    <n v="-1"/>
    <n v="80"/>
    <n v="132"/>
    <n v="106"/>
    <x v="5"/>
    <x v="1"/>
  </r>
  <r>
    <s v="Data Scientist"/>
    <s v="80-132"/>
    <n v="4"/>
    <s v="Lorven Technologies Inc"/>
    <s v="New York, NY"/>
    <s v="Plainsboro,NJ"/>
    <x v="6"/>
    <n v="-1"/>
    <s v="Company - Private"/>
    <s v="Accounting"/>
    <x v="19"/>
    <s v="Less than $1 million (USD)"/>
    <n v="-1"/>
    <n v="80"/>
    <n v="132"/>
    <n v="106"/>
    <x v="43"/>
    <x v="2"/>
  </r>
  <r>
    <s v="Data Scientist"/>
    <s v="80-132"/>
    <n v="4.4000000000000004"/>
    <s v="Meridian Knowledge Solutions"/>
    <s v="Washington, DC"/>
    <s v="Reston,VA"/>
    <x v="3"/>
    <n v="1997"/>
    <s v="Subsidiary or Business Segment"/>
    <s v="Enterprise Software &amp; Network Solutions"/>
    <x v="3"/>
    <s v="$100 to $500 million (USD)"/>
    <n v="-1"/>
    <n v="80"/>
    <n v="132"/>
    <n v="106"/>
    <x v="15"/>
    <x v="0"/>
  </r>
  <r>
    <s v="Data Scientist"/>
    <s v="80-132"/>
    <n v="4.2"/>
    <s v="Ust Global"/>
    <s v="Atlanta, GA"/>
    <s v="Aliso Viejo,CA"/>
    <x v="4"/>
    <n v="1999"/>
    <s v="Company - Private"/>
    <s v="IT Services"/>
    <x v="3"/>
    <s v="$1 to $2 billion (USD)"/>
    <s v="Cognizant Technology Solutions, Infosys, Wipro"/>
    <n v="80"/>
    <n v="132"/>
    <n v="106"/>
    <x v="30"/>
    <x v="0"/>
  </r>
  <r>
    <s v="Data Scientist"/>
    <s v="80-132"/>
    <n v="3.2"/>
    <s v="Img Systems"/>
    <s v="Plano, TX"/>
    <s v="Plano,TX"/>
    <x v="6"/>
    <n v="-1"/>
    <s v="Company - Private"/>
    <s v="Consulting"/>
    <x v="1"/>
    <s v="$1 to $5 million (USD)"/>
    <n v="-1"/>
    <n v="80"/>
    <n v="132"/>
    <n v="106"/>
    <x v="43"/>
    <x v="2"/>
  </r>
  <r>
    <s v="Data Scientist"/>
    <s v="80-132"/>
    <n v="3.4"/>
    <s v="Trident Systems Inc"/>
    <s v="Fairfax, VA"/>
    <s v="Fairfax,VA"/>
    <x v="3"/>
    <n v="1985"/>
    <s v="Company - Private"/>
    <s v="Aerospace &amp; Defense"/>
    <x v="10"/>
    <s v="$25 to $50 million (USD)"/>
    <n v="-1"/>
    <n v="80"/>
    <n v="132"/>
    <n v="106"/>
    <x v="47"/>
    <x v="0"/>
  </r>
  <r>
    <s v="Data Scientist"/>
    <s v="80-132"/>
    <n v="4.7"/>
    <s v="Tygart Technology, Inc"/>
    <s v="Washington, DC"/>
    <s v="Fairmont,WV"/>
    <x v="6"/>
    <n v="-1"/>
    <s v="Company - Private"/>
    <s v="-1"/>
    <x v="11"/>
    <s v="$1 to $5 million (USD)"/>
    <n v="-1"/>
    <n v="80"/>
    <n v="132"/>
    <n v="106"/>
    <x v="43"/>
    <x v="2"/>
  </r>
  <r>
    <s v="(Sr.) Data Scientist -"/>
    <s v="87-141"/>
    <n v="3.6"/>
    <s v="Merrick Bank"/>
    <s v="Utah"/>
    <s v="South Jordan,UT"/>
    <x v="5"/>
    <n v="1997"/>
    <s v="Company - Private"/>
    <s v="Banks &amp; Credit Unions"/>
    <x v="9"/>
    <s v="Unknown / Non-Applicable"/>
    <n v="-1"/>
    <n v="87"/>
    <n v="141"/>
    <n v="114"/>
    <x v="15"/>
    <x v="0"/>
  </r>
  <r>
    <s v="Senior Data Scientist"/>
    <s v="87-141"/>
    <n v="4.2"/>
    <s v="Mantech"/>
    <s v="Alexandria, VA"/>
    <s v="Herndon,VA"/>
    <x v="1"/>
    <n v="1968"/>
    <s v="Company - Public"/>
    <s v="Research &amp; Development"/>
    <x v="1"/>
    <s v="$1 to $2 billion (USD)"/>
    <n v="-1"/>
    <n v="87"/>
    <n v="141"/>
    <n v="114"/>
    <x v="1"/>
    <x v="0"/>
  </r>
  <r>
    <s v="Data Scientist"/>
    <s v="87-141"/>
    <n v="-1"/>
    <s v="Grainbridge, Llc"/>
    <s v="Omaha, NE"/>
    <n v="-1"/>
    <x v="7"/>
    <n v="-1"/>
    <s v="-1"/>
    <s v="-1"/>
    <x v="11"/>
    <s v="-1"/>
    <n v="-1"/>
    <n v="87"/>
    <n v="141"/>
    <n v="114"/>
    <x v="43"/>
    <x v="2"/>
  </r>
  <r>
    <s v="Data Scientist"/>
    <s v="87-141"/>
    <n v="3.2"/>
    <s v="First Health Group"/>
    <s v="Wellesley, MA"/>
    <s v="Bethesda,MD"/>
    <x v="4"/>
    <n v="1853"/>
    <s v="Company - Private"/>
    <s v="Insurance Carriers"/>
    <x v="0"/>
    <s v="$10+ billion (USD)"/>
    <s v="Humana"/>
    <n v="87"/>
    <n v="141"/>
    <n v="114"/>
    <x v="92"/>
    <x v="0"/>
  </r>
  <r>
    <s v="Data Scientist"/>
    <s v="87-141"/>
    <n v="-1"/>
    <s v="Sprezzatura Management Consulting"/>
    <s v="Washington, VA"/>
    <s v="Mclean,VA"/>
    <x v="8"/>
    <n v="-1"/>
    <s v="Company - Private"/>
    <s v="-1"/>
    <x v="11"/>
    <s v="Unknown / Non-Applicable"/>
    <n v="-1"/>
    <n v="87"/>
    <n v="141"/>
    <n v="114"/>
    <x v="43"/>
    <x v="2"/>
  </r>
  <r>
    <s v="Data Scientist"/>
    <s v="87-141"/>
    <n v="2.8"/>
    <s v="Progress Rail, A Caterpillar Company"/>
    <s v="Fort Worth, TX"/>
    <s v="Albertville,AL"/>
    <x v="0"/>
    <n v="1983"/>
    <s v="Subsidiary or Business Segment"/>
    <s v="Rail"/>
    <x v="12"/>
    <s v="$2 to $5 billion (USD)"/>
    <n v="-1"/>
    <n v="87"/>
    <n v="141"/>
    <n v="114"/>
    <x v="8"/>
    <x v="0"/>
  </r>
  <r>
    <s v="Data Scientist"/>
    <s v="87-141"/>
    <n v="4.2"/>
    <s v="Ust Global"/>
    <s v="Atlanta, GA"/>
    <s v="Aliso Viejo,CA"/>
    <x v="4"/>
    <n v="1999"/>
    <s v="Company - Private"/>
    <s v="IT Services"/>
    <x v="3"/>
    <s v="$1 to $2 billion (USD)"/>
    <s v="Cognizant Technology Solutions, Infosys, Wipro"/>
    <n v="87"/>
    <n v="141"/>
    <n v="114"/>
    <x v="30"/>
    <x v="0"/>
  </r>
  <r>
    <s v="Data Scientist"/>
    <s v="87-141"/>
    <n v="4.5"/>
    <s v="Axiologic Solutions"/>
    <s v="Alexandria, VA"/>
    <s v="Fairfax,VA"/>
    <x v="3"/>
    <n v="2009"/>
    <s v="Company - Private"/>
    <s v="Aerospace &amp; Defense"/>
    <x v="10"/>
    <s v="Unknown / Non-Applicable"/>
    <n v="-1"/>
    <n v="87"/>
    <n v="141"/>
    <n v="114"/>
    <x v="51"/>
    <x v="1"/>
  </r>
  <r>
    <s v="Data Scientist"/>
    <s v="87-141"/>
    <n v="3"/>
    <s v="Indigo Slate"/>
    <s v="Bellevue, WA"/>
    <s v="Bellevue,WA"/>
    <x v="3"/>
    <n v="2006"/>
    <s v="Company - Private"/>
    <s v="Consulting"/>
    <x v="1"/>
    <s v="$10 to $25 million (USD)"/>
    <n v="-1"/>
    <n v="87"/>
    <n v="141"/>
    <n v="114"/>
    <x v="39"/>
    <x v="1"/>
  </r>
  <r>
    <s v="Data Scientist"/>
    <s v="87-141"/>
    <n v="3.3"/>
    <s v="Cubic"/>
    <s v="United States"/>
    <s v="San Diego,CA"/>
    <x v="1"/>
    <n v="1951"/>
    <s v="Company - Public"/>
    <s v="Aerospace &amp; Defense"/>
    <x v="10"/>
    <s v="$1 to $2 billion (USD)"/>
    <s v="Accenture, Northrop Grumman, Xerox"/>
    <n v="87"/>
    <n v="141"/>
    <n v="114"/>
    <x v="25"/>
    <x v="0"/>
  </r>
  <r>
    <s v="Data Scientist"/>
    <s v="87-141"/>
    <n v="4"/>
    <s v="Advanced Bio-Logic Solutions Corp"/>
    <s v="Thousand Oaks, CA"/>
    <s v="Westlake Village,CA"/>
    <x v="6"/>
    <n v="-1"/>
    <s v="Company - Private"/>
    <s v="-1"/>
    <x v="11"/>
    <s v="Less than $1 million (USD)"/>
    <n v="-1"/>
    <n v="87"/>
    <n v="141"/>
    <n v="114"/>
    <x v="43"/>
    <x v="2"/>
  </r>
  <r>
    <s v="Data Engineer"/>
    <s v="87-141"/>
    <n v="3.5"/>
    <s v="Alignment Healthcare"/>
    <s v="Orange, CA"/>
    <s v="Orange,CA"/>
    <x v="2"/>
    <n v="2013"/>
    <s v="Company - Private"/>
    <s v="Health Care Services &amp; Hospitals"/>
    <x v="8"/>
    <s v="Unknown / Non-Applicable"/>
    <n v="-1"/>
    <n v="87"/>
    <n v="141"/>
    <n v="114"/>
    <x v="35"/>
    <x v="1"/>
  </r>
  <r>
    <s v="Data Scientist"/>
    <s v="87-141"/>
    <n v="3.5"/>
    <s v="Wgsn"/>
    <s v="Baltimore, MD"/>
    <s v="New York,NY"/>
    <x v="6"/>
    <n v="1998"/>
    <s v="Company - Private"/>
    <s v="Consulting"/>
    <x v="1"/>
    <s v="$50 to $100 million (USD)"/>
    <n v="-1"/>
    <n v="87"/>
    <n v="141"/>
    <n v="114"/>
    <x v="4"/>
    <x v="0"/>
  </r>
  <r>
    <s v="Data Scientist"/>
    <s v="87-141"/>
    <n v="3.6"/>
    <s v="Isys Technologies, Inc"/>
    <s v="Herndon, VA"/>
    <s v="Littleton,CO"/>
    <x v="3"/>
    <n v="1990"/>
    <s v="Company - Private"/>
    <s v="Computer Hardware &amp; Software"/>
    <x v="3"/>
    <s v="$10 to $25 million (USD)"/>
    <n v="-1"/>
    <n v="87"/>
    <n v="141"/>
    <n v="114"/>
    <x v="7"/>
    <x v="0"/>
  </r>
  <r>
    <s v="Data Scientist"/>
    <s v="87-141"/>
    <n v="3"/>
    <s v="Transvoyant"/>
    <s v="Alexandria, VA"/>
    <s v="Alexandria,VA"/>
    <x v="3"/>
    <n v="2012"/>
    <s v="Company - Private"/>
    <s v="Enterprise Software &amp; Network Solutions"/>
    <x v="3"/>
    <s v="Unknown / Non-Applicable"/>
    <n v="-1"/>
    <n v="87"/>
    <n v="141"/>
    <n v="114"/>
    <x v="10"/>
    <x v="1"/>
  </r>
  <r>
    <s v="Data Scientist/Data Analytics Practitioner"/>
    <s v="87-141"/>
    <n v="4"/>
    <s v="Noblis"/>
    <s v="Bridgeport, WV"/>
    <s v="Reston,VA"/>
    <x v="0"/>
    <n v="1996"/>
    <s v="Nonprofit Organization"/>
    <s v="Consulting"/>
    <x v="1"/>
    <s v="$100 to $500 million (USD)"/>
    <s v="Booz Allen Hamilton, SAIC, LMI"/>
    <n v="87"/>
    <n v="141"/>
    <n v="114"/>
    <x v="6"/>
    <x v="0"/>
  </r>
  <r>
    <s v="Data Scientist"/>
    <s v="87-141"/>
    <n v="4.5999999999999996"/>
    <s v="Murray Resources"/>
    <s v="The Woodlands, TX"/>
    <s v="Houston,TX"/>
    <x v="6"/>
    <n v="1988"/>
    <s v="Company - Private"/>
    <s v="Staffing &amp; Outsourcing"/>
    <x v="1"/>
    <s v="$10 to $25 million (USD)"/>
    <n v="-1"/>
    <n v="87"/>
    <n v="141"/>
    <n v="114"/>
    <x v="18"/>
    <x v="0"/>
  </r>
  <r>
    <s v="Data Scientist"/>
    <s v="87-141"/>
    <n v="4.3"/>
    <s v="Geotab"/>
    <s v="Oakville, CA"/>
    <s v="Oakville,Canada"/>
    <x v="0"/>
    <n v="2000"/>
    <s v="Company - Private"/>
    <s v="Computer Hardware &amp; Software"/>
    <x v="3"/>
    <s v="$100 to $500 million (USD)"/>
    <n v="-1"/>
    <n v="87"/>
    <n v="141"/>
    <n v="114"/>
    <x v="3"/>
    <x v="0"/>
  </r>
  <r>
    <s v="Data Scientist"/>
    <s v="87-141"/>
    <n v="4.7"/>
    <s v="Crs Group"/>
    <s v="Chicago, IL"/>
    <s v="Itasca,IL"/>
    <x v="3"/>
    <n v="1994"/>
    <s v="Company - Private"/>
    <s v="Staffing &amp; Outsourcing"/>
    <x v="1"/>
    <s v="$10 to $25 million (USD)"/>
    <n v="-1"/>
    <n v="87"/>
    <n v="141"/>
    <n v="114"/>
    <x v="40"/>
    <x v="0"/>
  </r>
  <r>
    <s v="Data Scientist"/>
    <s v="87-141"/>
    <n v="3.7"/>
    <s v="Eglobaltech"/>
    <s v="Arlington, VA"/>
    <s v="Vienna,VA"/>
    <x v="5"/>
    <n v="2004"/>
    <s v="Company - Private"/>
    <s v="IT Services"/>
    <x v="3"/>
    <s v="Unknown / Non-Applicable"/>
    <n v="-1"/>
    <n v="87"/>
    <n v="141"/>
    <n v="114"/>
    <x v="65"/>
    <x v="0"/>
  </r>
  <r>
    <s v="Data Scientist, Kinship - Nyc/Portland"/>
    <s v="92-155"/>
    <n v="3.9"/>
    <s v="Mars"/>
    <s v="New York, NY"/>
    <s v="Mc Lean,VA"/>
    <x v="4"/>
    <n v="1911"/>
    <s v="Company - Private"/>
    <s v="Food &amp; Beverage Manufacturing"/>
    <x v="2"/>
    <s v="$10+ billion (USD)"/>
    <n v="-1"/>
    <n v="92"/>
    <n v="155"/>
    <n v="123.5"/>
    <x v="50"/>
    <x v="0"/>
  </r>
  <r>
    <s v="Data Scientist"/>
    <s v="92-155"/>
    <n v="4.9000000000000004"/>
    <s v="Avlino"/>
    <s v="New Jersey"/>
    <s v="Holmdel,NJ"/>
    <x v="6"/>
    <n v="2013"/>
    <s v="Company - Private"/>
    <s v="Enterprise Software &amp; Network Solutions"/>
    <x v="3"/>
    <s v="Less than $1 million (USD)"/>
    <n v="-1"/>
    <n v="92"/>
    <n v="155"/>
    <n v="123.5"/>
    <x v="35"/>
    <x v="1"/>
  </r>
  <r>
    <s v="Data Scientist"/>
    <s v="92-155"/>
    <n v="3"/>
    <s v="Central Business Solutions, Inc"/>
    <s v="Seattle, WA"/>
    <s v="Fremont,CA"/>
    <x v="3"/>
    <n v="-1"/>
    <s v="Company - Private"/>
    <s v="Consulting"/>
    <x v="1"/>
    <s v="$5 to $10 million (USD)"/>
    <n v="-1"/>
    <n v="92"/>
    <n v="155"/>
    <n v="123.5"/>
    <x v="43"/>
    <x v="2"/>
  </r>
  <r>
    <s v="Data Scientist"/>
    <s v="92-155"/>
    <n v="2.5"/>
    <s v="Kehe Distributors"/>
    <s v="Naperville, IL"/>
    <s v="Naperville,IL"/>
    <x v="1"/>
    <n v="1954"/>
    <s v="Company - Private"/>
    <s v="Wholesale"/>
    <x v="1"/>
    <s v="Unknown / Non-Applicable"/>
    <s v="United Natural Foods, US Foods, DPI Specialty Foods"/>
    <n v="92"/>
    <n v="155"/>
    <n v="123.5"/>
    <x v="68"/>
    <x v="0"/>
  </r>
  <r>
    <s v="Data Scientist"/>
    <s v="92-155"/>
    <n v="3.5"/>
    <s v="Blackstone Talent Group"/>
    <s v="San Francisco, CA"/>
    <s v="San Francisco,CA"/>
    <x v="3"/>
    <n v="1998"/>
    <s v="Company - Private"/>
    <s v="Consulting"/>
    <x v="1"/>
    <s v="$25 to $50 million (USD)"/>
    <n v="-1"/>
    <n v="92"/>
    <n v="155"/>
    <n v="123.5"/>
    <x v="4"/>
    <x v="0"/>
  </r>
  <r>
    <s v="Data Scientist - Ts/Sci Required"/>
    <s v="92-155"/>
    <n v="5"/>
    <s v="Phoenix Operations Group"/>
    <s v="Baltimore, MD"/>
    <s v="Woodbine,MD"/>
    <x v="6"/>
    <n v="2011"/>
    <s v="Company - Private"/>
    <s v="IT Services"/>
    <x v="3"/>
    <s v="$1 to $5 million (USD)"/>
    <n v="-1"/>
    <n v="92"/>
    <n v="155"/>
    <n v="123.5"/>
    <x v="20"/>
    <x v="1"/>
  </r>
  <r>
    <s v="Data Scientist"/>
    <s v="92-155"/>
    <n v="-1"/>
    <s v="Sophinea"/>
    <s v="Chantilly, VA"/>
    <n v="-1"/>
    <x v="6"/>
    <n v="-1"/>
    <s v="Unknown"/>
    <s v="-1"/>
    <x v="11"/>
    <s v="Unknown / Non-Applicable"/>
    <n v="-1"/>
    <n v="92"/>
    <n v="155"/>
    <n v="123.5"/>
    <x v="43"/>
    <x v="2"/>
  </r>
  <r>
    <s v="Senior Data Scientist"/>
    <s v="92-155"/>
    <n v="3.5"/>
    <s v="Maxar Technologies"/>
    <s v="Herndon, VA"/>
    <s v="Westminster,CO"/>
    <x v="1"/>
    <n v="-1"/>
    <s v="Company - Public"/>
    <s v="Aerospace &amp; Defense"/>
    <x v="10"/>
    <s v="$2 to $5 billion (USD)"/>
    <n v="-1"/>
    <n v="92"/>
    <n v="155"/>
    <n v="123.5"/>
    <x v="43"/>
    <x v="2"/>
  </r>
  <r>
    <s v="Data Scientist"/>
    <s v="92-155"/>
    <n v="3"/>
    <s v="Moxie Software"/>
    <s v="Bellevue, WA"/>
    <s v="San Bruno,CA"/>
    <x v="3"/>
    <n v="1999"/>
    <s v="Company - Private"/>
    <s v="Enterprise Software &amp; Network Solutions"/>
    <x v="3"/>
    <s v="Unknown / Non-Applicable"/>
    <s v="LivePerson, Salesforce, SAP"/>
    <n v="92"/>
    <n v="155"/>
    <n v="123.5"/>
    <x v="30"/>
    <x v="0"/>
  </r>
  <r>
    <s v="Data Scientist(S)/Machine Learning Engineer"/>
    <s v="92-155"/>
    <n v="5"/>
    <s v="Blue Horizon Tek Solutions"/>
    <s v="New York, NY"/>
    <s v="Coconut Creek,FL"/>
    <x v="6"/>
    <n v="1987"/>
    <s v="Company - Private"/>
    <s v="Staffing &amp; Outsourcing"/>
    <x v="1"/>
    <s v="Unknown / Non-Applicable"/>
    <n v="-1"/>
    <n v="92"/>
    <n v="155"/>
    <n v="123.5"/>
    <x v="98"/>
    <x v="0"/>
  </r>
  <r>
    <s v="Data Scientist"/>
    <s v="92-155"/>
    <n v="4.7"/>
    <s v="Unicom Technologies Inc"/>
    <s v="Chicago, IL"/>
    <s v="Naperville,IL"/>
    <x v="3"/>
    <n v="-1"/>
    <s v="Company - Private"/>
    <s v="IT Services"/>
    <x v="3"/>
    <s v="Unknown / Non-Applicable"/>
    <n v="-1"/>
    <n v="92"/>
    <n v="155"/>
    <n v="123.5"/>
    <x v="43"/>
    <x v="2"/>
  </r>
  <r>
    <s v="Data Engineer"/>
    <s v="92-155"/>
    <n v="3.3"/>
    <s v="Americo Life"/>
    <s v="Kansas City, MO"/>
    <s v="Kansas City,MO"/>
    <x v="5"/>
    <n v="1992"/>
    <s v="Company - Private"/>
    <s v="Insurance Carriers"/>
    <x v="0"/>
    <s v="$100 to $500 million (USD)"/>
    <n v="-1"/>
    <n v="92"/>
    <n v="155"/>
    <n v="123.5"/>
    <x v="23"/>
    <x v="0"/>
  </r>
  <r>
    <s v="Data Scientist"/>
    <s v="92-155"/>
    <n v="3.3"/>
    <s v="Tokio Marine Hcc"/>
    <s v="Houston, TX"/>
    <s v="Houston,TX"/>
    <x v="0"/>
    <n v="1974"/>
    <s v="Company - Private"/>
    <s v="Insurance Carriers"/>
    <x v="0"/>
    <s v="Unknown / Non-Applicable"/>
    <s v="Zurich Insurance, AXA XL, Allianz"/>
    <n v="92"/>
    <n v="155"/>
    <n v="123.5"/>
    <x v="45"/>
    <x v="0"/>
  </r>
  <r>
    <s v="Data Scientist"/>
    <s v="92-155"/>
    <n v="3.5"/>
    <s v="Caci International"/>
    <s v="Chantilly, VA"/>
    <s v="Arlington,VA"/>
    <x v="4"/>
    <n v="1962"/>
    <s v="Company - Public"/>
    <s v="Aerospace &amp; Defense"/>
    <x v="10"/>
    <s v="$2 to $5 billion (USD)"/>
    <s v="CSC, ManTech, SAIC"/>
    <n v="92"/>
    <n v="155"/>
    <n v="123.5"/>
    <x v="102"/>
    <x v="0"/>
  </r>
  <r>
    <s v="Ai/Ml - Machine Learning Scientist, Siri Understanding"/>
    <s v="92-155"/>
    <n v="4.0999999999999996"/>
    <s v="Apple"/>
    <s v="Santa Clara, CA"/>
    <s v="Cupertino,CA"/>
    <x v="4"/>
    <n v="1976"/>
    <s v="Company - Public"/>
    <s v="Computer Hardware &amp; Software"/>
    <x v="3"/>
    <s v="$10+ billion (USD)"/>
    <s v="Google, Microsoft, Samsung Electronics"/>
    <n v="92"/>
    <n v="155"/>
    <n v="123.5"/>
    <x v="66"/>
    <x v="0"/>
  </r>
  <r>
    <s v="Data Scientist"/>
    <s v="92-155"/>
    <n v="3.5"/>
    <s v="Maxar Technologies"/>
    <s v="Herndon, VA"/>
    <s v="Westminster,CO"/>
    <x v="1"/>
    <n v="-1"/>
    <s v="Company - Public"/>
    <s v="Aerospace &amp; Defense"/>
    <x v="10"/>
    <s v="$2 to $5 billion (USD)"/>
    <n v="-1"/>
    <n v="92"/>
    <n v="155"/>
    <n v="123.5"/>
    <x v="43"/>
    <x v="2"/>
  </r>
  <r>
    <s v="Engineer - Computer Scientist - Research Computer Scientist - Signal Processing - San Antonio Or"/>
    <s v="92-155"/>
    <n v="3.9"/>
    <s v="Southwest Research Institute"/>
    <s v="Oklahoma City, OK"/>
    <s v="San Antonio,TX"/>
    <x v="0"/>
    <n v="1947"/>
    <s v="Nonprofit Organization"/>
    <s v="Research &amp; Development"/>
    <x v="1"/>
    <s v="$500 million to $1 billion (USD)"/>
    <s v="Los Alamos National Laboratory, Battelle, SRI International"/>
    <n v="92"/>
    <n v="155"/>
    <n v="123.5"/>
    <x v="69"/>
    <x v="0"/>
  </r>
  <r>
    <s v="Data Scientist"/>
    <s v="92-155"/>
    <n v="4.7"/>
    <s v="Compass Consulting Group"/>
    <s v="Thousand Oaks, CA"/>
    <s v="Danville,CA"/>
    <x v="3"/>
    <n v="2008"/>
    <s v="Company - Private"/>
    <s v="Consulting"/>
    <x v="1"/>
    <s v="Unknown / Non-Applicable"/>
    <n v="-1"/>
    <n v="92"/>
    <n v="155"/>
    <n v="123.5"/>
    <x v="29"/>
    <x v="1"/>
  </r>
  <r>
    <s v="Data Science Software Engineer"/>
    <s v="92-155"/>
    <n v="4.8"/>
    <s v="Klaviyo"/>
    <s v="Boston, MA"/>
    <s v="Boston,MA"/>
    <x v="5"/>
    <n v="2012"/>
    <s v="Company - Private"/>
    <s v="Computer Hardware &amp; Software"/>
    <x v="3"/>
    <s v="Unknown / Non-Applicable"/>
    <n v="-1"/>
    <n v="92"/>
    <n v="155"/>
    <n v="123.5"/>
    <x v="10"/>
    <x v="1"/>
  </r>
  <r>
    <s v="Scientist / Group Lead, Cancer Biology"/>
    <s v="92-155"/>
    <n v="-1"/>
    <s v="Monte Rosa Therapeutics"/>
    <s v="Cambridge, MA"/>
    <n v="-1"/>
    <x v="7"/>
    <n v="-1"/>
    <s v="-1"/>
    <s v="-1"/>
    <x v="11"/>
    <s v="-1"/>
    <n v="-1"/>
    <n v="92"/>
    <n v="155"/>
    <n v="123.5"/>
    <x v="43"/>
    <x v="2"/>
  </r>
  <r>
    <s v="Ai Ops Data Scientist"/>
    <s v="92-155"/>
    <n v="4"/>
    <s v="Astrazeneca"/>
    <s v="Gaithersburg, MD"/>
    <s v="Cambridge,United Kingdom"/>
    <x v="4"/>
    <n v="1913"/>
    <s v="Company - Public"/>
    <s v="Biotech &amp; Pharmaceuticals"/>
    <x v="4"/>
    <s v="$10+ billion (USD)"/>
    <s v="Roche, GlaxoSmithKline, Novartis"/>
    <n v="92"/>
    <n v="155"/>
    <n v="123.5"/>
    <x v="48"/>
    <x v="0"/>
  </r>
  <r>
    <s v="Senior Data Scientist"/>
    <s v="105-167"/>
    <n v="3.8"/>
    <s v="Gutcheck"/>
    <s v="Denver, CO"/>
    <s v="Denver,CO"/>
    <x v="3"/>
    <n v="2009"/>
    <s v="Company - Private"/>
    <s v="Advertising &amp; Marketing"/>
    <x v="1"/>
    <s v="$10 to $25 million (USD)"/>
    <s v="Nielsen, Zappi, SurveyMonkey"/>
    <n v="105"/>
    <n v="167"/>
    <n v="136"/>
    <x v="51"/>
    <x v="1"/>
  </r>
  <r>
    <s v="Sr. Ml/Data Scientist - Ai/Nlp/Chatbot"/>
    <s v="105-167"/>
    <n v="3.8"/>
    <s v="Juniper Networks"/>
    <s v="Cupertino, CA"/>
    <s v="Sunnyvale,CA"/>
    <x v="1"/>
    <n v="1996"/>
    <s v="Company - Public"/>
    <s v="Telecommunications Services"/>
    <x v="14"/>
    <s v="$2 to $5 billion (USD)"/>
    <n v="-1"/>
    <n v="105"/>
    <n v="167"/>
    <n v="136"/>
    <x v="6"/>
    <x v="0"/>
  </r>
  <r>
    <s v="Data Scientist"/>
    <s v="105-167"/>
    <n v="2.7"/>
    <s v="Hexagon Us Federal"/>
    <s v="Lexington Park, MD"/>
    <s v="Chantilly,VA"/>
    <x v="3"/>
    <n v="2010"/>
    <s v="Company - Public"/>
    <s v="Aerospace &amp; Defense"/>
    <x v="10"/>
    <s v="Unknown / Non-Applicable"/>
    <n v="-1"/>
    <n v="105"/>
    <n v="167"/>
    <n v="136"/>
    <x v="5"/>
    <x v="1"/>
  </r>
  <r>
    <s v="Data Scientist"/>
    <s v="105-167"/>
    <n v="4"/>
    <s v="Comtech Global Inc"/>
    <s v="Washington, DC"/>
    <s v="Columbus,OH"/>
    <x v="3"/>
    <n v="-1"/>
    <s v="Company - Private"/>
    <s v="Health, Beauty, &amp; Fitness"/>
    <x v="22"/>
    <s v="$5 to $10 million (USD)"/>
    <n v="-1"/>
    <n v="105"/>
    <n v="167"/>
    <n v="136"/>
    <x v="43"/>
    <x v="2"/>
  </r>
  <r>
    <s v="Data Scientist"/>
    <s v="105-167"/>
    <n v="-1"/>
    <s v="Berico Technologies"/>
    <s v="Fort Belvoir, VA"/>
    <n v="-1"/>
    <x v="7"/>
    <n v="-1"/>
    <s v="-1"/>
    <s v="-1"/>
    <x v="11"/>
    <s v="-1"/>
    <n v="-1"/>
    <n v="105"/>
    <n v="167"/>
    <n v="136"/>
    <x v="43"/>
    <x v="2"/>
  </r>
  <r>
    <s v="Data Scientist"/>
    <s v="105-167"/>
    <n v="-1"/>
    <s v="Kehe Food Distributors"/>
    <s v="Naperville, IL"/>
    <n v="-1"/>
    <x v="7"/>
    <n v="-1"/>
    <s v="-1"/>
    <s v="-1"/>
    <x v="11"/>
    <s v="-1"/>
    <n v="-1"/>
    <n v="105"/>
    <n v="167"/>
    <n v="136"/>
    <x v="43"/>
    <x v="2"/>
  </r>
  <r>
    <s v="Data Scientist"/>
    <s v="105-167"/>
    <n v="3.8"/>
    <s v="Aveshka, Inc"/>
    <s v="Washington, DC"/>
    <s v="Arlington,VA"/>
    <x v="3"/>
    <n v="2010"/>
    <s v="Company - Public"/>
    <s v="IT Services"/>
    <x v="3"/>
    <s v="$10 to $25 million (USD)"/>
    <n v="-1"/>
    <n v="105"/>
    <n v="167"/>
    <n v="136"/>
    <x v="5"/>
    <x v="1"/>
  </r>
  <r>
    <s v="Data Scientist"/>
    <s v="105-167"/>
    <n v="3.2"/>
    <s v="Perspecta"/>
    <s v="Adelphi, MD"/>
    <s v="Chantilly,VA"/>
    <x v="4"/>
    <n v="2018"/>
    <s v="Company - Public"/>
    <s v="Aerospace &amp; Defense"/>
    <x v="10"/>
    <s v="Unknown / Non-Applicable"/>
    <n v="-1"/>
    <n v="105"/>
    <n v="167"/>
    <n v="136"/>
    <x v="71"/>
    <x v="2"/>
  </r>
  <r>
    <s v="Data Scientist"/>
    <s v="105-167"/>
    <n v="-1"/>
    <s v="Pactera Edge"/>
    <s v="Redmond, WA"/>
    <n v="-1"/>
    <x v="7"/>
    <n v="-1"/>
    <s v="-1"/>
    <s v="-1"/>
    <x v="11"/>
    <s v="-1"/>
    <n v="-1"/>
    <n v="105"/>
    <n v="167"/>
    <n v="136"/>
    <x v="43"/>
    <x v="2"/>
  </r>
  <r>
    <s v="Data Scientist"/>
    <s v="105-167"/>
    <n v="3.6"/>
    <s v="Qurate Retail Group"/>
    <s v="West Chester, PA"/>
    <s v="West Chester,PA"/>
    <x v="4"/>
    <n v="-1"/>
    <s v="Company - Public"/>
    <s v="Other Retail Stores"/>
    <x v="5"/>
    <s v="Unknown / Non-Applicable"/>
    <n v="-1"/>
    <n v="105"/>
    <n v="167"/>
    <n v="136"/>
    <x v="43"/>
    <x v="2"/>
  </r>
  <r>
    <s v="Data Scientist"/>
    <s v="105-167"/>
    <n v="4.4000000000000004"/>
    <s v="Solutionit, Inc"/>
    <s v="Edison, NJ"/>
    <s v="Wilmington,MA"/>
    <x v="3"/>
    <n v="-1"/>
    <s v="Company - Private"/>
    <s v="-1"/>
    <x v="11"/>
    <s v="Unknown / Non-Applicable"/>
    <n v="-1"/>
    <n v="105"/>
    <n v="167"/>
    <n v="136"/>
    <x v="43"/>
    <x v="2"/>
  </r>
  <r>
    <s v="Data Scientist"/>
    <s v="105-167"/>
    <n v="4.0999999999999996"/>
    <s v="A-Line Staffing Solutions"/>
    <s v="Durham, NC"/>
    <s v="Utica,MI"/>
    <x v="2"/>
    <n v="2004"/>
    <s v="Company - Private"/>
    <s v="Staffing &amp; Outsourcing"/>
    <x v="1"/>
    <s v="Unknown / Non-Applicable"/>
    <n v="-1"/>
    <n v="105"/>
    <n v="167"/>
    <n v="136"/>
    <x v="65"/>
    <x v="0"/>
  </r>
  <r>
    <s v="Data Scientist"/>
    <s v="105-167"/>
    <n v="-1"/>
    <s v="Clear Ridge Defense"/>
    <s v="Quantico, VA"/>
    <s v="Baltimore,MD"/>
    <x v="6"/>
    <n v="-1"/>
    <s v="Company - Private"/>
    <s v="-1"/>
    <x v="11"/>
    <s v="Unknown / Non-Applicable"/>
    <n v="-1"/>
    <n v="105"/>
    <n v="167"/>
    <n v="136"/>
    <x v="43"/>
    <x v="2"/>
  </r>
  <r>
    <s v="Data Scientist"/>
    <s v="105-167"/>
    <n v="3.8"/>
    <s v="Criterion Systems, Inc"/>
    <s v="Vienna, VA"/>
    <s v="Vienna,VA"/>
    <x v="5"/>
    <n v="2005"/>
    <s v="Company - Private"/>
    <s v="IT Services"/>
    <x v="3"/>
    <s v="$50 to $100 million (USD)"/>
    <n v="-1"/>
    <n v="105"/>
    <n v="167"/>
    <n v="136"/>
    <x v="26"/>
    <x v="0"/>
  </r>
  <r>
    <s v="Data Scientist"/>
    <s v="105-167"/>
    <n v="4"/>
    <s v="Foundation Medicine"/>
    <s v="Boston, MA"/>
    <s v="Cambridge,MA"/>
    <x v="0"/>
    <n v="2010"/>
    <s v="Company - Public"/>
    <s v="Biotech &amp; Pharmaceuticals"/>
    <x v="4"/>
    <s v="$100 to $500 million (USD)"/>
    <s v="Genomic Health, Myriad Genetics, The Broad Institute"/>
    <n v="105"/>
    <n v="167"/>
    <n v="136"/>
    <x v="5"/>
    <x v="1"/>
  </r>
  <r>
    <s v="Data Scientist"/>
    <s v="105-167"/>
    <n v="3.6"/>
    <s v="Tranzact"/>
    <s v="Fort Lee, NJ"/>
    <s v="Fort Lee,NJ"/>
    <x v="0"/>
    <n v="1989"/>
    <s v="Company - Private"/>
    <s v="Advertising &amp; Marketing"/>
    <x v="1"/>
    <s v="Unknown / Non-Applicable"/>
    <n v="-1"/>
    <n v="105"/>
    <n v="167"/>
    <n v="136"/>
    <x v="90"/>
    <x v="0"/>
  </r>
  <r>
    <s v="Data Scientist"/>
    <s v="105-167"/>
    <n v="-1"/>
    <s v="Jkgt"/>
    <s v="San Francisco, CA"/>
    <n v="-1"/>
    <x v="7"/>
    <n v="-1"/>
    <s v="-1"/>
    <s v="-1"/>
    <x v="11"/>
    <s v="-1"/>
    <n v="-1"/>
    <n v="105"/>
    <n v="167"/>
    <n v="136"/>
    <x v="43"/>
    <x v="2"/>
  </r>
  <r>
    <s v="Data Scientist"/>
    <s v="105-167"/>
    <n v="-1"/>
    <s v="Accesshope"/>
    <s v="Irwindale, CA"/>
    <n v="-1"/>
    <x v="7"/>
    <n v="-1"/>
    <s v="-1"/>
    <s v="-1"/>
    <x v="11"/>
    <s v="-1"/>
    <n v="-1"/>
    <n v="105"/>
    <n v="167"/>
    <n v="136"/>
    <x v="43"/>
    <x v="2"/>
  </r>
  <r>
    <s v="Data Scientist"/>
    <s v="105-167"/>
    <n v="5"/>
    <s v="Chateck Incorporated"/>
    <s v="San Francisco, CA"/>
    <s v="Santa Clara,CA"/>
    <x v="6"/>
    <n v="-1"/>
    <s v="Company - Private"/>
    <s v="Advertising &amp; Marketing"/>
    <x v="1"/>
    <s v="$1 to $5 million (USD)"/>
    <n v="-1"/>
    <n v="105"/>
    <n v="167"/>
    <n v="136"/>
    <x v="43"/>
    <x v="2"/>
  </r>
  <r>
    <s v="Data Scientist"/>
    <s v="105-167"/>
    <n v="2.7"/>
    <s v="1-800-Flowers"/>
    <s v="New York, NY"/>
    <s v="Carle Place,NY"/>
    <x v="0"/>
    <n v="1976"/>
    <s v="Company - Public"/>
    <s v="Wholesale"/>
    <x v="1"/>
    <s v="$1 to $2 billion (USD)"/>
    <n v="-1"/>
    <n v="105"/>
    <n v="167"/>
    <n v="136"/>
    <x v="6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63261-DC13-41A5-B4F4-F57FA5FF4173}" name="PivotTable6" cacheId="1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8" rowHeaderCaption="Grouped_age_company">
  <location ref="A78:D79" firstHeaderRow="0" firstDataRow="1" firstDataCol="0"/>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4">
        <item x="1"/>
        <item x="0"/>
        <item x="2"/>
        <item t="default"/>
      </items>
    </pivotField>
  </pivotFields>
  <rowItems count="1">
    <i/>
  </rowItems>
  <colFields count="1">
    <field x="-2"/>
  </colFields>
  <colItems count="4">
    <i>
      <x/>
    </i>
    <i i="1">
      <x v="1"/>
    </i>
    <i i="2">
      <x v="2"/>
    </i>
    <i i="3">
      <x v="3"/>
    </i>
  </colItems>
  <dataFields count="4">
    <dataField name="Number of jobs" fld="0" subtotal="count" baseField="0" baseItem="1"/>
    <dataField name="Average_salary" fld="15" subtotal="average" baseField="0" baseItem="1" numFmtId="1"/>
    <dataField name="Max salary" fld="14" subtotal="max" baseField="0" baseItem="1"/>
    <dataField name="Min salary" fld="13"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D2D397-4591-49FB-B3E8-431212D499D0}" name="PivotTable1"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ector">
  <location ref="A22:B45" firstHeaderRow="1" firstDataRow="1" firstDataCol="1"/>
  <pivotFields count="18">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24">
        <item x="11"/>
        <item x="19"/>
        <item x="10"/>
        <item x="17"/>
        <item x="4"/>
        <item x="1"/>
        <item x="21"/>
        <item x="22"/>
        <item x="18"/>
        <item x="9"/>
        <item x="7"/>
        <item x="8"/>
        <item x="3"/>
        <item x="0"/>
        <item x="2"/>
        <item x="13"/>
        <item x="20"/>
        <item x="6"/>
        <item x="15"/>
        <item x="5"/>
        <item x="14"/>
        <item x="12"/>
        <item x="16"/>
        <item t="default"/>
      </items>
    </pivotField>
    <pivotField showAll="0"/>
    <pivotField showAll="0"/>
    <pivotField showAll="0"/>
    <pivotField showAll="0"/>
    <pivotField dataField="1" showAll="0"/>
    <pivotField showAll="0"/>
    <pivotField showAll="0"/>
  </pivotFields>
  <rowFields count="1">
    <field x="1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Average of Avg _salary" fld="15" subtotal="average" baseField="10" baseItem="10" numFmtId="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2DFA7-4D3B-4764-8474-D3B2F93FD2F0}" name="PivotTable3" cacheId="1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9" rowHeaderCaption="Grouped_age_company">
  <location ref="A61:B64" firstHeaderRow="1" firstDataRow="1" firstDataCol="1"/>
  <pivotFields count="18">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s>
  <rowFields count="1">
    <field x="17"/>
  </rowFields>
  <rowItems count="3">
    <i>
      <x/>
    </i>
    <i>
      <x v="1"/>
    </i>
    <i>
      <x v="2"/>
    </i>
  </rowItems>
  <colItems count="1">
    <i/>
  </colItems>
  <dataFields count="1">
    <dataField name="Sum of Avg _salary" fld="15" baseField="10" baseItem="20" numFmtId="1"/>
  </dataFields>
  <chartFormats count="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7" count="1" selected="0">
            <x v="0"/>
          </reference>
        </references>
      </pivotArea>
    </chartFormat>
    <chartFormat chart="8" format="3">
      <pivotArea type="data" outline="0" fieldPosition="0">
        <references count="2">
          <reference field="4294967294" count="1" selected="0">
            <x v="0"/>
          </reference>
          <reference field="17" count="1" selected="0">
            <x v="1"/>
          </reference>
        </references>
      </pivotArea>
    </chartFormat>
    <chartFormat chart="8" format="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105341-7438-4FB6-9BB6-D58C7AE1AE72}" name="PivotTable2"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ize">
  <location ref="A48:B57" firstHeaderRow="1" firstDataRow="1" firstDataCol="1"/>
  <pivotFields count="18">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items count="10">
        <item x="7"/>
        <item x="6"/>
        <item x="4"/>
        <item x="0"/>
        <item x="5"/>
        <item x="1"/>
        <item x="2"/>
        <item x="3"/>
        <item x="8"/>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9">
    <i>
      <x/>
    </i>
    <i>
      <x v="1"/>
    </i>
    <i>
      <x v="2"/>
    </i>
    <i>
      <x v="3"/>
    </i>
    <i>
      <x v="4"/>
    </i>
    <i>
      <x v="5"/>
    </i>
    <i>
      <x v="6"/>
    </i>
    <i>
      <x v="7"/>
    </i>
    <i>
      <x v="8"/>
    </i>
  </rowItems>
  <colItems count="1">
    <i/>
  </colItems>
  <dataFields count="1">
    <dataField name="Sum of Avg _salary" fld="15" baseField="10" baseItem="20" numFmtId="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7497BC4-890F-417D-91F4-9A4AF48F513B}" sourceName="Sector">
  <pivotTables>
    <pivotTable tabId="13" name="PivotTable1"/>
  </pivotTables>
  <data>
    <tabular pivotCacheId="449892992">
      <items count="23">
        <i x="11" s="1"/>
        <i x="19" s="1"/>
        <i x="10" s="1"/>
        <i x="17" s="1"/>
        <i x="4" s="1"/>
        <i x="1" s="1"/>
        <i x="21" s="1"/>
        <i x="22" s="1"/>
        <i x="18" s="1"/>
        <i x="9" s="1"/>
        <i x="7" s="1"/>
        <i x="8" s="1"/>
        <i x="3" s="1"/>
        <i x="0" s="1"/>
        <i x="2" s="1"/>
        <i x="13" s="1"/>
        <i x="20" s="1"/>
        <i x="6" s="1"/>
        <i x="15" s="1"/>
        <i x="5" s="1"/>
        <i x="14" s="1"/>
        <i x="12"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ed_age" xr10:uid="{4068C15A-777A-4A09-8C57-F508321C9A31}" sourceName="Grouped-age">
  <pivotTables>
    <pivotTable tabId="13" name="PivotTable3"/>
  </pivotTables>
  <data>
    <tabular pivotCacheId="44989299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E632AADD-4EE5-4B28-A2EB-FD82B9BA0565}" cache="Slicer_Sector" caption="Sector" startItem="1" rowHeight="247650"/>
  <slicer name="Grouped-age" xr10:uid="{9BF905D3-D9C5-466B-9174-7491663B8997}" cache="Slicer_Grouped_age" caption="Grouped-ag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A659-542D-475A-8F5B-6E2D9FB2C451}">
  <sheetPr>
    <tabColor rgb="FFFF0000"/>
  </sheetPr>
  <dimension ref="A1:O673"/>
  <sheetViews>
    <sheetView workbookViewId="0">
      <selection activeCell="D6" sqref="D6"/>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t="409.6" x14ac:dyDescent="0.3">
      <c r="A2">
        <v>0</v>
      </c>
      <c r="B2" t="s">
        <v>15</v>
      </c>
      <c r="C2" t="s">
        <v>16</v>
      </c>
      <c r="D2" s="1" t="s">
        <v>17</v>
      </c>
      <c r="E2">
        <v>3.1</v>
      </c>
      <c r="F2" s="1" t="s">
        <v>18</v>
      </c>
      <c r="G2" t="s">
        <v>19</v>
      </c>
      <c r="H2" t="s">
        <v>19</v>
      </c>
      <c r="I2" t="s">
        <v>20</v>
      </c>
      <c r="J2">
        <v>1993</v>
      </c>
      <c r="K2" t="s">
        <v>21</v>
      </c>
      <c r="L2" t="s">
        <v>22</v>
      </c>
      <c r="M2" t="s">
        <v>23</v>
      </c>
      <c r="N2" t="s">
        <v>24</v>
      </c>
      <c r="O2" t="s">
        <v>25</v>
      </c>
    </row>
    <row r="3" spans="1:15" x14ac:dyDescent="0.3">
      <c r="A3">
        <v>1</v>
      </c>
      <c r="B3" t="s">
        <v>26</v>
      </c>
      <c r="C3" t="s">
        <v>16</v>
      </c>
      <c r="D3" s="1" t="s">
        <v>27</v>
      </c>
      <c r="E3">
        <v>4.2</v>
      </c>
      <c r="F3" s="1" t="s">
        <v>28</v>
      </c>
      <c r="G3" t="s">
        <v>29</v>
      </c>
      <c r="H3" t="s">
        <v>30</v>
      </c>
      <c r="I3" t="s">
        <v>31</v>
      </c>
      <c r="J3">
        <v>1968</v>
      </c>
      <c r="K3" t="s">
        <v>32</v>
      </c>
      <c r="L3" t="s">
        <v>33</v>
      </c>
      <c r="M3" t="s">
        <v>34</v>
      </c>
      <c r="N3" t="s">
        <v>35</v>
      </c>
      <c r="O3">
        <v>-1</v>
      </c>
    </row>
    <row r="4" spans="1:15" ht="409.6" x14ac:dyDescent="0.3">
      <c r="A4">
        <v>2</v>
      </c>
      <c r="B4" t="s">
        <v>26</v>
      </c>
      <c r="C4" t="s">
        <v>16</v>
      </c>
      <c r="D4" s="1" t="s">
        <v>36</v>
      </c>
      <c r="E4">
        <v>3.8</v>
      </c>
      <c r="F4" s="1" t="s">
        <v>37</v>
      </c>
      <c r="G4" t="s">
        <v>38</v>
      </c>
      <c r="H4" t="s">
        <v>38</v>
      </c>
      <c r="I4" t="s">
        <v>20</v>
      </c>
      <c r="J4">
        <v>1981</v>
      </c>
      <c r="K4" t="s">
        <v>39</v>
      </c>
      <c r="L4" t="s">
        <v>40</v>
      </c>
      <c r="M4" t="s">
        <v>34</v>
      </c>
      <c r="N4" t="s">
        <v>41</v>
      </c>
      <c r="O4">
        <v>-1</v>
      </c>
    </row>
    <row r="5" spans="1:15" ht="409.6" x14ac:dyDescent="0.3">
      <c r="A5">
        <v>3</v>
      </c>
      <c r="B5" t="s">
        <v>26</v>
      </c>
      <c r="C5" t="s">
        <v>16</v>
      </c>
      <c r="D5" s="1" t="s">
        <v>42</v>
      </c>
      <c r="E5">
        <v>3.5</v>
      </c>
      <c r="F5" s="1" t="s">
        <v>43</v>
      </c>
      <c r="G5" t="s">
        <v>44</v>
      </c>
      <c r="H5" t="s">
        <v>45</v>
      </c>
      <c r="I5" t="s">
        <v>46</v>
      </c>
      <c r="J5">
        <v>2000</v>
      </c>
      <c r="K5" t="s">
        <v>32</v>
      </c>
      <c r="L5" t="s">
        <v>47</v>
      </c>
      <c r="M5" t="s">
        <v>48</v>
      </c>
      <c r="N5" t="s">
        <v>41</v>
      </c>
      <c r="O5" t="s">
        <v>49</v>
      </c>
    </row>
    <row r="6" spans="1:15" ht="409.6" x14ac:dyDescent="0.3">
      <c r="A6">
        <v>4</v>
      </c>
      <c r="B6" t="s">
        <v>26</v>
      </c>
      <c r="C6" t="s">
        <v>16</v>
      </c>
      <c r="D6" s="1" t="s">
        <v>50</v>
      </c>
      <c r="E6">
        <v>2.9</v>
      </c>
      <c r="F6" s="1" t="s">
        <v>51</v>
      </c>
      <c r="G6" t="s">
        <v>19</v>
      </c>
      <c r="H6" t="s">
        <v>19</v>
      </c>
      <c r="I6" t="s">
        <v>52</v>
      </c>
      <c r="J6">
        <v>1998</v>
      </c>
      <c r="K6" t="s">
        <v>53</v>
      </c>
      <c r="L6" t="s">
        <v>54</v>
      </c>
      <c r="M6" t="s">
        <v>34</v>
      </c>
      <c r="N6" t="s">
        <v>24</v>
      </c>
      <c r="O6" t="s">
        <v>55</v>
      </c>
    </row>
    <row r="7" spans="1:15" ht="409.6" x14ac:dyDescent="0.3">
      <c r="A7">
        <v>5</v>
      </c>
      <c r="B7" t="s">
        <v>26</v>
      </c>
      <c r="C7" t="s">
        <v>16</v>
      </c>
      <c r="D7" s="1" t="s">
        <v>56</v>
      </c>
      <c r="E7">
        <v>4.2</v>
      </c>
      <c r="F7" s="1" t="s">
        <v>57</v>
      </c>
      <c r="G7" t="s">
        <v>58</v>
      </c>
      <c r="H7" t="s">
        <v>58</v>
      </c>
      <c r="I7" t="s">
        <v>52</v>
      </c>
      <c r="J7">
        <v>2010</v>
      </c>
      <c r="K7" t="s">
        <v>53</v>
      </c>
      <c r="L7" t="s">
        <v>59</v>
      </c>
      <c r="M7" t="s">
        <v>60</v>
      </c>
      <c r="N7" t="s">
        <v>24</v>
      </c>
      <c r="O7">
        <v>-1</v>
      </c>
    </row>
    <row r="8" spans="1:15" ht="409.6" x14ac:dyDescent="0.3">
      <c r="A8">
        <v>6</v>
      </c>
      <c r="B8" t="s">
        <v>61</v>
      </c>
      <c r="C8" t="s">
        <v>16</v>
      </c>
      <c r="D8" s="1" t="s">
        <v>62</v>
      </c>
      <c r="E8">
        <v>3.9</v>
      </c>
      <c r="F8" s="1" t="s">
        <v>63</v>
      </c>
      <c r="G8" t="s">
        <v>64</v>
      </c>
      <c r="H8" t="s">
        <v>65</v>
      </c>
      <c r="I8" t="s">
        <v>66</v>
      </c>
      <c r="J8">
        <v>1996</v>
      </c>
      <c r="K8" t="s">
        <v>32</v>
      </c>
      <c r="L8" t="s">
        <v>67</v>
      </c>
      <c r="M8" t="s">
        <v>67</v>
      </c>
      <c r="N8" t="s">
        <v>68</v>
      </c>
      <c r="O8">
        <v>-1</v>
      </c>
    </row>
    <row r="9" spans="1:15" ht="409.6" x14ac:dyDescent="0.3">
      <c r="A9">
        <v>7</v>
      </c>
      <c r="B9" t="s">
        <v>26</v>
      </c>
      <c r="C9" t="s">
        <v>16</v>
      </c>
      <c r="D9" s="1" t="s">
        <v>69</v>
      </c>
      <c r="E9">
        <v>3.5</v>
      </c>
      <c r="F9" s="1" t="s">
        <v>70</v>
      </c>
      <c r="G9" t="s">
        <v>71</v>
      </c>
      <c r="H9" t="s">
        <v>71</v>
      </c>
      <c r="I9" t="s">
        <v>20</v>
      </c>
      <c r="J9">
        <v>1990</v>
      </c>
      <c r="K9" t="s">
        <v>32</v>
      </c>
      <c r="L9" t="s">
        <v>72</v>
      </c>
      <c r="M9" t="s">
        <v>73</v>
      </c>
      <c r="N9" t="s">
        <v>35</v>
      </c>
      <c r="O9">
        <v>-1</v>
      </c>
    </row>
    <row r="10" spans="1:15" ht="43.2" x14ac:dyDescent="0.3">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ht="409.6" x14ac:dyDescent="0.3">
      <c r="A11">
        <v>9</v>
      </c>
      <c r="B11" t="s">
        <v>26</v>
      </c>
      <c r="C11" t="s">
        <v>16</v>
      </c>
      <c r="D11" s="1" t="s">
        <v>81</v>
      </c>
      <c r="E11">
        <v>3.6</v>
      </c>
      <c r="F11" s="1" t="s">
        <v>82</v>
      </c>
      <c r="G11" t="s">
        <v>83</v>
      </c>
      <c r="H11" t="s">
        <v>83</v>
      </c>
      <c r="I11" t="s">
        <v>52</v>
      </c>
      <c r="J11">
        <v>2014</v>
      </c>
      <c r="K11" t="s">
        <v>53</v>
      </c>
      <c r="L11" t="s">
        <v>84</v>
      </c>
      <c r="M11" t="s">
        <v>60</v>
      </c>
      <c r="N11" t="s">
        <v>24</v>
      </c>
      <c r="O11">
        <v>-1</v>
      </c>
    </row>
    <row r="12" spans="1:15" ht="409.6" x14ac:dyDescent="0.3">
      <c r="A12">
        <v>10</v>
      </c>
      <c r="B12" t="s">
        <v>26</v>
      </c>
      <c r="C12" t="s">
        <v>16</v>
      </c>
      <c r="D12" s="1" t="s">
        <v>85</v>
      </c>
      <c r="E12">
        <v>4.5</v>
      </c>
      <c r="F12" s="1" t="s">
        <v>86</v>
      </c>
      <c r="G12" t="s">
        <v>30</v>
      </c>
      <c r="H12" t="s">
        <v>87</v>
      </c>
      <c r="I12" t="s">
        <v>46</v>
      </c>
      <c r="J12">
        <v>2012</v>
      </c>
      <c r="K12" t="s">
        <v>53</v>
      </c>
      <c r="L12" t="s">
        <v>84</v>
      </c>
      <c r="M12" t="s">
        <v>60</v>
      </c>
      <c r="N12" t="s">
        <v>41</v>
      </c>
      <c r="O12" t="s">
        <v>88</v>
      </c>
    </row>
    <row r="13" spans="1:15" ht="409.6" x14ac:dyDescent="0.3">
      <c r="A13">
        <v>11</v>
      </c>
      <c r="B13" t="s">
        <v>26</v>
      </c>
      <c r="C13" t="s">
        <v>16</v>
      </c>
      <c r="D13" s="1" t="s">
        <v>89</v>
      </c>
      <c r="E13">
        <v>4.7</v>
      </c>
      <c r="F13" s="1" t="s">
        <v>90</v>
      </c>
      <c r="G13" t="s">
        <v>91</v>
      </c>
      <c r="H13" t="s">
        <v>91</v>
      </c>
      <c r="I13" t="s">
        <v>52</v>
      </c>
      <c r="J13">
        <v>2016</v>
      </c>
      <c r="K13" t="s">
        <v>53</v>
      </c>
      <c r="L13" t="s">
        <v>92</v>
      </c>
      <c r="M13" t="s">
        <v>60</v>
      </c>
      <c r="N13" t="s">
        <v>24</v>
      </c>
      <c r="O13" t="s">
        <v>93</v>
      </c>
    </row>
    <row r="14" spans="1:15" ht="409.6" x14ac:dyDescent="0.3">
      <c r="A14">
        <v>12</v>
      </c>
      <c r="B14" t="s">
        <v>94</v>
      </c>
      <c r="C14" t="s">
        <v>16</v>
      </c>
      <c r="D14" s="1" t="s">
        <v>95</v>
      </c>
      <c r="E14">
        <v>3.7</v>
      </c>
      <c r="F14" s="1" t="s">
        <v>96</v>
      </c>
      <c r="G14" t="s">
        <v>97</v>
      </c>
      <c r="H14" t="s">
        <v>97</v>
      </c>
      <c r="I14" t="s">
        <v>20</v>
      </c>
      <c r="J14">
        <v>1965</v>
      </c>
      <c r="K14" t="s">
        <v>98</v>
      </c>
      <c r="L14" t="s">
        <v>99</v>
      </c>
      <c r="M14" t="s">
        <v>100</v>
      </c>
      <c r="N14" t="s">
        <v>101</v>
      </c>
      <c r="O14" t="s">
        <v>102</v>
      </c>
    </row>
    <row r="15" spans="1:15" ht="409.6" x14ac:dyDescent="0.3">
      <c r="A15">
        <v>13</v>
      </c>
      <c r="B15" t="s">
        <v>103</v>
      </c>
      <c r="C15" t="s">
        <v>16</v>
      </c>
      <c r="D15" s="1" t="s">
        <v>104</v>
      </c>
      <c r="E15">
        <v>3.1</v>
      </c>
      <c r="F15" s="1" t="s">
        <v>105</v>
      </c>
      <c r="G15" t="s">
        <v>106</v>
      </c>
      <c r="H15" t="s">
        <v>106</v>
      </c>
      <c r="I15" t="s">
        <v>107</v>
      </c>
      <c r="J15">
        <v>1973</v>
      </c>
      <c r="K15" t="s">
        <v>53</v>
      </c>
      <c r="L15" t="s">
        <v>108</v>
      </c>
      <c r="M15" t="s">
        <v>48</v>
      </c>
      <c r="N15" t="s">
        <v>35</v>
      </c>
      <c r="O15">
        <v>-1</v>
      </c>
    </row>
    <row r="16" spans="1:15" ht="409.6" x14ac:dyDescent="0.3">
      <c r="A16">
        <v>14</v>
      </c>
      <c r="B16" t="s">
        <v>26</v>
      </c>
      <c r="C16" t="s">
        <v>16</v>
      </c>
      <c r="D16" s="1" t="s">
        <v>109</v>
      </c>
      <c r="E16">
        <v>3.4</v>
      </c>
      <c r="F16" s="1" t="s">
        <v>110</v>
      </c>
      <c r="G16" t="s">
        <v>111</v>
      </c>
      <c r="H16" t="s">
        <v>112</v>
      </c>
      <c r="I16" t="s">
        <v>20</v>
      </c>
      <c r="J16">
        <v>1986</v>
      </c>
      <c r="K16" t="s">
        <v>53</v>
      </c>
      <c r="L16" t="s">
        <v>40</v>
      </c>
      <c r="M16" t="s">
        <v>34</v>
      </c>
      <c r="N16" t="s">
        <v>41</v>
      </c>
      <c r="O16">
        <v>-1</v>
      </c>
    </row>
    <row r="17" spans="1:15" ht="409.6" x14ac:dyDescent="0.3">
      <c r="A17">
        <v>15</v>
      </c>
      <c r="B17" t="s">
        <v>113</v>
      </c>
      <c r="C17" t="s">
        <v>16</v>
      </c>
      <c r="D17" s="1" t="s">
        <v>114</v>
      </c>
      <c r="E17">
        <v>4.4000000000000004</v>
      </c>
      <c r="F17" s="1" t="s">
        <v>115</v>
      </c>
      <c r="G17" t="s">
        <v>111</v>
      </c>
      <c r="H17" t="s">
        <v>116</v>
      </c>
      <c r="I17" t="s">
        <v>117</v>
      </c>
      <c r="J17">
        <v>1997</v>
      </c>
      <c r="K17" t="s">
        <v>53</v>
      </c>
      <c r="L17" t="s">
        <v>118</v>
      </c>
      <c r="M17" t="s">
        <v>98</v>
      </c>
      <c r="N17" t="s">
        <v>24</v>
      </c>
      <c r="O17">
        <v>-1</v>
      </c>
    </row>
    <row r="18" spans="1:15" ht="409.6" x14ac:dyDescent="0.3">
      <c r="A18">
        <v>16</v>
      </c>
      <c r="B18" t="s">
        <v>119</v>
      </c>
      <c r="C18" t="s">
        <v>16</v>
      </c>
      <c r="D18" s="1" t="s">
        <v>120</v>
      </c>
      <c r="E18">
        <v>4.0999999999999996</v>
      </c>
      <c r="F18" s="1" t="s">
        <v>121</v>
      </c>
      <c r="G18" t="s">
        <v>122</v>
      </c>
      <c r="H18" t="s">
        <v>111</v>
      </c>
      <c r="I18" t="s">
        <v>52</v>
      </c>
      <c r="J18">
        <v>2015</v>
      </c>
      <c r="K18" t="s">
        <v>53</v>
      </c>
      <c r="L18" t="s">
        <v>123</v>
      </c>
      <c r="M18" t="s">
        <v>60</v>
      </c>
      <c r="N18" t="s">
        <v>24</v>
      </c>
      <c r="O18">
        <v>-1</v>
      </c>
    </row>
    <row r="19" spans="1:15" ht="409.6" x14ac:dyDescent="0.3">
      <c r="A19">
        <v>17</v>
      </c>
      <c r="B19" t="s">
        <v>26</v>
      </c>
      <c r="C19" t="s">
        <v>16</v>
      </c>
      <c r="D19" s="1" t="s">
        <v>124</v>
      </c>
      <c r="E19">
        <v>3.5</v>
      </c>
      <c r="F19" s="1" t="s">
        <v>125</v>
      </c>
      <c r="G19" t="s">
        <v>126</v>
      </c>
      <c r="H19" t="s">
        <v>126</v>
      </c>
      <c r="I19" t="s">
        <v>20</v>
      </c>
      <c r="J19">
        <v>1945</v>
      </c>
      <c r="K19" t="s">
        <v>53</v>
      </c>
      <c r="L19" t="s">
        <v>108</v>
      </c>
      <c r="M19" t="s">
        <v>48</v>
      </c>
      <c r="N19" t="s">
        <v>101</v>
      </c>
      <c r="O19">
        <v>-1</v>
      </c>
    </row>
    <row r="20" spans="1:15" ht="409.6" x14ac:dyDescent="0.3">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ht="409.6" x14ac:dyDescent="0.3">
      <c r="A21">
        <v>19</v>
      </c>
      <c r="B21" t="s">
        <v>134</v>
      </c>
      <c r="C21" t="s">
        <v>16</v>
      </c>
      <c r="D21" s="1" t="s">
        <v>135</v>
      </c>
      <c r="E21">
        <v>3.5</v>
      </c>
      <c r="F21" s="1" t="s">
        <v>136</v>
      </c>
      <c r="G21" t="s">
        <v>137</v>
      </c>
      <c r="H21" t="s">
        <v>138</v>
      </c>
      <c r="I21" t="s">
        <v>31</v>
      </c>
      <c r="J21">
        <v>2017</v>
      </c>
      <c r="K21" t="s">
        <v>21</v>
      </c>
      <c r="L21" t="s">
        <v>139</v>
      </c>
      <c r="M21" t="s">
        <v>140</v>
      </c>
      <c r="N21" t="s">
        <v>24</v>
      </c>
      <c r="O21">
        <v>-1</v>
      </c>
    </row>
    <row r="22" spans="1:15" ht="409.6" x14ac:dyDescent="0.3">
      <c r="A22">
        <v>20</v>
      </c>
      <c r="B22" t="s">
        <v>26</v>
      </c>
      <c r="C22" t="s">
        <v>16</v>
      </c>
      <c r="D22" s="1" t="s">
        <v>141</v>
      </c>
      <c r="E22">
        <v>3.2</v>
      </c>
      <c r="F22" s="1" t="s">
        <v>142</v>
      </c>
      <c r="G22" t="s">
        <v>19</v>
      </c>
      <c r="H22" t="s">
        <v>143</v>
      </c>
      <c r="I22" t="s">
        <v>52</v>
      </c>
      <c r="J22">
        <v>2015</v>
      </c>
      <c r="K22" t="s">
        <v>53</v>
      </c>
      <c r="L22" t="s">
        <v>59</v>
      </c>
      <c r="M22" t="s">
        <v>60</v>
      </c>
      <c r="N22" t="s">
        <v>24</v>
      </c>
      <c r="O22">
        <v>-1</v>
      </c>
    </row>
    <row r="23" spans="1:15" ht="409.6" x14ac:dyDescent="0.3">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ht="409.6" x14ac:dyDescent="0.3">
      <c r="A24">
        <v>22</v>
      </c>
      <c r="B24" t="s">
        <v>148</v>
      </c>
      <c r="C24" t="s">
        <v>16</v>
      </c>
      <c r="D24" s="1" t="s">
        <v>149</v>
      </c>
      <c r="E24">
        <v>3.5</v>
      </c>
      <c r="F24" s="1" t="s">
        <v>150</v>
      </c>
      <c r="G24" t="s">
        <v>151</v>
      </c>
      <c r="H24" t="s">
        <v>152</v>
      </c>
      <c r="I24" t="s">
        <v>20</v>
      </c>
      <c r="J24">
        <v>1967</v>
      </c>
      <c r="K24" t="s">
        <v>32</v>
      </c>
      <c r="L24" t="s">
        <v>40</v>
      </c>
      <c r="M24" t="s">
        <v>34</v>
      </c>
      <c r="N24" t="s">
        <v>41</v>
      </c>
      <c r="O24">
        <v>-1</v>
      </c>
    </row>
    <row r="25" spans="1:15" ht="409.6" x14ac:dyDescent="0.3">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ht="409.6" x14ac:dyDescent="0.3">
      <c r="A26">
        <v>24</v>
      </c>
      <c r="B26" t="s">
        <v>26</v>
      </c>
      <c r="C26" t="s">
        <v>16</v>
      </c>
      <c r="D26" s="1" t="s">
        <v>158</v>
      </c>
      <c r="E26">
        <v>3.4</v>
      </c>
      <c r="F26" s="1" t="s">
        <v>159</v>
      </c>
      <c r="G26" t="s">
        <v>83</v>
      </c>
      <c r="H26" t="s">
        <v>83</v>
      </c>
      <c r="I26" t="s">
        <v>52</v>
      </c>
      <c r="J26">
        <v>1992</v>
      </c>
      <c r="K26" t="s">
        <v>53</v>
      </c>
      <c r="L26" t="s">
        <v>54</v>
      </c>
      <c r="M26" t="s">
        <v>34</v>
      </c>
      <c r="N26" t="s">
        <v>160</v>
      </c>
      <c r="O26">
        <v>-1</v>
      </c>
    </row>
    <row r="27" spans="1:15" ht="409.6" x14ac:dyDescent="0.3">
      <c r="A27">
        <v>25</v>
      </c>
      <c r="B27" t="s">
        <v>26</v>
      </c>
      <c r="C27" t="s">
        <v>16</v>
      </c>
      <c r="D27" s="1" t="s">
        <v>161</v>
      </c>
      <c r="E27">
        <v>4.7</v>
      </c>
      <c r="F27" s="1" t="s">
        <v>162</v>
      </c>
      <c r="G27" t="s">
        <v>163</v>
      </c>
      <c r="H27" t="s">
        <v>163</v>
      </c>
      <c r="I27" t="s">
        <v>52</v>
      </c>
      <c r="J27">
        <v>2003</v>
      </c>
      <c r="K27" t="s">
        <v>53</v>
      </c>
      <c r="L27" t="s">
        <v>59</v>
      </c>
      <c r="M27" t="s">
        <v>60</v>
      </c>
      <c r="N27" t="s">
        <v>164</v>
      </c>
      <c r="O27">
        <v>-1</v>
      </c>
    </row>
    <row r="28" spans="1:15" ht="409.6" x14ac:dyDescent="0.3">
      <c r="A28">
        <v>26</v>
      </c>
      <c r="B28" t="s">
        <v>165</v>
      </c>
      <c r="C28" t="s">
        <v>16</v>
      </c>
      <c r="D28" s="1" t="s">
        <v>166</v>
      </c>
      <c r="E28">
        <v>4.2</v>
      </c>
      <c r="F28" s="1" t="s">
        <v>167</v>
      </c>
      <c r="G28" t="s">
        <v>168</v>
      </c>
      <c r="H28" t="s">
        <v>168</v>
      </c>
      <c r="I28" t="s">
        <v>52</v>
      </c>
      <c r="J28">
        <v>1996</v>
      </c>
      <c r="K28" t="s">
        <v>53</v>
      </c>
      <c r="L28" t="s">
        <v>169</v>
      </c>
      <c r="M28" t="s">
        <v>170</v>
      </c>
      <c r="N28" t="s">
        <v>41</v>
      </c>
      <c r="O28">
        <v>-1</v>
      </c>
    </row>
    <row r="29" spans="1:15" ht="409.6" x14ac:dyDescent="0.3">
      <c r="A29">
        <v>27</v>
      </c>
      <c r="B29" t="s">
        <v>171</v>
      </c>
      <c r="C29" t="s">
        <v>16</v>
      </c>
      <c r="D29" s="1" t="s">
        <v>172</v>
      </c>
      <c r="E29">
        <v>3.8</v>
      </c>
      <c r="F29" s="1" t="s">
        <v>173</v>
      </c>
      <c r="G29" t="s">
        <v>174</v>
      </c>
      <c r="H29" t="s">
        <v>174</v>
      </c>
      <c r="I29" t="s">
        <v>20</v>
      </c>
      <c r="J29">
        <v>1951</v>
      </c>
      <c r="K29" t="s">
        <v>21</v>
      </c>
      <c r="L29" t="s">
        <v>175</v>
      </c>
      <c r="M29" t="s">
        <v>175</v>
      </c>
      <c r="N29" t="s">
        <v>24</v>
      </c>
      <c r="O29">
        <v>-1</v>
      </c>
    </row>
    <row r="30" spans="1:15" ht="409.6" x14ac:dyDescent="0.3">
      <c r="A30">
        <v>28</v>
      </c>
      <c r="B30" t="s">
        <v>26</v>
      </c>
      <c r="C30" t="s">
        <v>16</v>
      </c>
      <c r="D30" s="1" t="s">
        <v>176</v>
      </c>
      <c r="E30">
        <v>4.5</v>
      </c>
      <c r="F30" s="1" t="s">
        <v>177</v>
      </c>
      <c r="G30" t="s">
        <v>178</v>
      </c>
      <c r="H30" t="s">
        <v>179</v>
      </c>
      <c r="I30" t="s">
        <v>52</v>
      </c>
      <c r="J30">
        <v>2005</v>
      </c>
      <c r="K30" t="s">
        <v>53</v>
      </c>
      <c r="L30" t="s">
        <v>118</v>
      </c>
      <c r="M30" t="s">
        <v>98</v>
      </c>
      <c r="N30" t="s">
        <v>164</v>
      </c>
      <c r="O30">
        <v>-1</v>
      </c>
    </row>
    <row r="31" spans="1:15" ht="409.6" x14ac:dyDescent="0.3">
      <c r="A31">
        <v>29</v>
      </c>
      <c r="B31" t="s">
        <v>26</v>
      </c>
      <c r="C31" t="s">
        <v>16</v>
      </c>
      <c r="D31" s="1" t="s">
        <v>180</v>
      </c>
      <c r="E31">
        <v>2.8</v>
      </c>
      <c r="F31" s="1" t="s">
        <v>181</v>
      </c>
      <c r="G31" t="s">
        <v>143</v>
      </c>
      <c r="H31" t="s">
        <v>143</v>
      </c>
      <c r="I31" t="s">
        <v>52</v>
      </c>
      <c r="J31">
        <v>2015</v>
      </c>
      <c r="K31" t="s">
        <v>53</v>
      </c>
      <c r="L31" t="s">
        <v>84</v>
      </c>
      <c r="M31" t="s">
        <v>60</v>
      </c>
      <c r="N31" t="s">
        <v>24</v>
      </c>
      <c r="O31">
        <v>-1</v>
      </c>
    </row>
    <row r="32" spans="1:15" ht="409.6" x14ac:dyDescent="0.3">
      <c r="A32">
        <v>30</v>
      </c>
      <c r="B32" t="s">
        <v>26</v>
      </c>
      <c r="C32" t="s">
        <v>182</v>
      </c>
      <c r="D32" s="1" t="s">
        <v>36</v>
      </c>
      <c r="E32">
        <v>3.8</v>
      </c>
      <c r="F32" s="1" t="s">
        <v>37</v>
      </c>
      <c r="G32" t="s">
        <v>38</v>
      </c>
      <c r="H32" t="s">
        <v>38</v>
      </c>
      <c r="I32" t="s">
        <v>20</v>
      </c>
      <c r="J32">
        <v>1981</v>
      </c>
      <c r="K32" t="s">
        <v>39</v>
      </c>
      <c r="L32" t="s">
        <v>40</v>
      </c>
      <c r="M32" t="s">
        <v>34</v>
      </c>
      <c r="N32" t="s">
        <v>41</v>
      </c>
      <c r="O32">
        <v>-1</v>
      </c>
    </row>
    <row r="33" spans="1:15" ht="409.6" x14ac:dyDescent="0.3">
      <c r="A33">
        <v>31</v>
      </c>
      <c r="B33" t="s">
        <v>61</v>
      </c>
      <c r="C33" t="s">
        <v>182</v>
      </c>
      <c r="D33" s="1" t="s">
        <v>62</v>
      </c>
      <c r="E33">
        <v>3.9</v>
      </c>
      <c r="F33" s="1" t="s">
        <v>63</v>
      </c>
      <c r="G33" t="s">
        <v>64</v>
      </c>
      <c r="H33" t="s">
        <v>65</v>
      </c>
      <c r="I33" t="s">
        <v>66</v>
      </c>
      <c r="J33">
        <v>1996</v>
      </c>
      <c r="K33" t="s">
        <v>32</v>
      </c>
      <c r="L33" t="s">
        <v>67</v>
      </c>
      <c r="M33" t="s">
        <v>67</v>
      </c>
      <c r="N33" t="s">
        <v>68</v>
      </c>
      <c r="O33">
        <v>-1</v>
      </c>
    </row>
    <row r="34" spans="1:15" ht="409.6" x14ac:dyDescent="0.3">
      <c r="A34">
        <v>32</v>
      </c>
      <c r="B34" t="s">
        <v>26</v>
      </c>
      <c r="C34" t="s">
        <v>182</v>
      </c>
      <c r="D34" s="1" t="s">
        <v>183</v>
      </c>
      <c r="E34">
        <v>5</v>
      </c>
      <c r="F34" s="1" t="s">
        <v>184</v>
      </c>
      <c r="G34" t="s">
        <v>38</v>
      </c>
      <c r="H34" t="s">
        <v>38</v>
      </c>
      <c r="I34" t="s">
        <v>117</v>
      </c>
      <c r="J34">
        <v>2019</v>
      </c>
      <c r="K34" t="s">
        <v>53</v>
      </c>
      <c r="L34" t="s">
        <v>92</v>
      </c>
      <c r="M34" t="s">
        <v>60</v>
      </c>
      <c r="N34" t="s">
        <v>24</v>
      </c>
      <c r="O34">
        <v>-1</v>
      </c>
    </row>
    <row r="35" spans="1:15" ht="409.6" x14ac:dyDescent="0.3">
      <c r="A35">
        <v>33</v>
      </c>
      <c r="B35" t="s">
        <v>185</v>
      </c>
      <c r="C35" t="s">
        <v>182</v>
      </c>
      <c r="D35" s="1" t="s">
        <v>186</v>
      </c>
      <c r="E35">
        <v>4.8</v>
      </c>
      <c r="F35" s="1" t="s">
        <v>187</v>
      </c>
      <c r="G35" t="s">
        <v>188</v>
      </c>
      <c r="H35" t="s">
        <v>188</v>
      </c>
      <c r="I35" t="s">
        <v>20</v>
      </c>
      <c r="J35">
        <v>1925</v>
      </c>
      <c r="K35" t="s">
        <v>53</v>
      </c>
      <c r="L35" t="s">
        <v>22</v>
      </c>
      <c r="M35" t="s">
        <v>23</v>
      </c>
      <c r="N35" t="s">
        <v>35</v>
      </c>
      <c r="O35">
        <v>-1</v>
      </c>
    </row>
    <row r="36" spans="1:15" ht="409.6" x14ac:dyDescent="0.3">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ht="409.6" x14ac:dyDescent="0.3">
      <c r="A37">
        <v>35</v>
      </c>
      <c r="B37" t="s">
        <v>196</v>
      </c>
      <c r="C37" t="s">
        <v>182</v>
      </c>
      <c r="D37" s="1" t="s">
        <v>197</v>
      </c>
      <c r="E37">
        <v>3.3</v>
      </c>
      <c r="F37" s="1" t="s">
        <v>198</v>
      </c>
      <c r="G37" t="s">
        <v>199</v>
      </c>
      <c r="H37" t="s">
        <v>200</v>
      </c>
      <c r="I37" t="s">
        <v>20</v>
      </c>
      <c r="J37">
        <v>1999</v>
      </c>
      <c r="K37" t="s">
        <v>53</v>
      </c>
      <c r="L37" t="s">
        <v>201</v>
      </c>
      <c r="M37" t="s">
        <v>100</v>
      </c>
      <c r="N37" t="s">
        <v>79</v>
      </c>
      <c r="O37">
        <v>-1</v>
      </c>
    </row>
    <row r="38" spans="1:15" ht="409.6" x14ac:dyDescent="0.3">
      <c r="A38">
        <v>36</v>
      </c>
      <c r="B38" t="s">
        <v>202</v>
      </c>
      <c r="C38" t="s">
        <v>182</v>
      </c>
      <c r="D38" s="1" t="s">
        <v>203</v>
      </c>
      <c r="E38">
        <v>2.7</v>
      </c>
      <c r="F38" s="1" t="s">
        <v>204</v>
      </c>
      <c r="G38" t="s">
        <v>205</v>
      </c>
      <c r="H38" t="s">
        <v>205</v>
      </c>
      <c r="I38" t="s">
        <v>20</v>
      </c>
      <c r="J38">
        <v>1978</v>
      </c>
      <c r="K38" t="s">
        <v>53</v>
      </c>
      <c r="L38" t="s">
        <v>84</v>
      </c>
      <c r="M38" t="s">
        <v>60</v>
      </c>
      <c r="N38" t="s">
        <v>194</v>
      </c>
      <c r="O38">
        <v>-1</v>
      </c>
    </row>
    <row r="39" spans="1:15" ht="409.6" x14ac:dyDescent="0.3">
      <c r="A39">
        <v>37</v>
      </c>
      <c r="B39" t="s">
        <v>26</v>
      </c>
      <c r="C39" t="s">
        <v>182</v>
      </c>
      <c r="D39" s="1" t="s">
        <v>206</v>
      </c>
      <c r="E39">
        <v>2.7</v>
      </c>
      <c r="F39" s="1" t="s">
        <v>207</v>
      </c>
      <c r="G39" t="s">
        <v>208</v>
      </c>
      <c r="H39" t="s">
        <v>19</v>
      </c>
      <c r="I39" t="s">
        <v>46</v>
      </c>
      <c r="J39">
        <v>2000</v>
      </c>
      <c r="K39" t="s">
        <v>53</v>
      </c>
      <c r="L39" t="s">
        <v>139</v>
      </c>
      <c r="M39" t="s">
        <v>140</v>
      </c>
      <c r="N39" t="s">
        <v>24</v>
      </c>
      <c r="O39" t="s">
        <v>209</v>
      </c>
    </row>
    <row r="40" spans="1:15" ht="409.6" x14ac:dyDescent="0.3">
      <c r="A40">
        <v>38</v>
      </c>
      <c r="B40" t="s">
        <v>26</v>
      </c>
      <c r="C40" t="s">
        <v>182</v>
      </c>
      <c r="D40" s="1" t="s">
        <v>210</v>
      </c>
      <c r="E40">
        <v>2.2000000000000002</v>
      </c>
      <c r="F40" s="1" t="s">
        <v>211</v>
      </c>
      <c r="G40" t="s">
        <v>29</v>
      </c>
      <c r="H40" t="s">
        <v>29</v>
      </c>
      <c r="I40" t="s">
        <v>117</v>
      </c>
      <c r="J40">
        <v>2000</v>
      </c>
      <c r="K40" t="s">
        <v>53</v>
      </c>
      <c r="L40" t="s">
        <v>84</v>
      </c>
      <c r="M40" t="s">
        <v>60</v>
      </c>
      <c r="N40" t="s">
        <v>212</v>
      </c>
      <c r="O40">
        <v>-1</v>
      </c>
    </row>
    <row r="41" spans="1:15" ht="409.6" x14ac:dyDescent="0.3">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ht="409.6" x14ac:dyDescent="0.3">
      <c r="A42">
        <v>40</v>
      </c>
      <c r="B42" t="s">
        <v>218</v>
      </c>
      <c r="C42" t="s">
        <v>182</v>
      </c>
      <c r="D42" s="1" t="s">
        <v>219</v>
      </c>
      <c r="E42">
        <v>3.1</v>
      </c>
      <c r="F42" s="1" t="s">
        <v>220</v>
      </c>
      <c r="G42" t="s">
        <v>38</v>
      </c>
      <c r="H42" t="s">
        <v>38</v>
      </c>
      <c r="I42" t="s">
        <v>46</v>
      </c>
      <c r="J42">
        <v>1973</v>
      </c>
      <c r="K42" t="s">
        <v>53</v>
      </c>
      <c r="L42" t="s">
        <v>169</v>
      </c>
      <c r="M42" t="s">
        <v>170</v>
      </c>
      <c r="N42" t="s">
        <v>41</v>
      </c>
      <c r="O42">
        <v>-1</v>
      </c>
    </row>
    <row r="43" spans="1:15" ht="409.6" x14ac:dyDescent="0.3">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ht="409.6" x14ac:dyDescent="0.3">
      <c r="A44">
        <v>42</v>
      </c>
      <c r="B44" t="s">
        <v>226</v>
      </c>
      <c r="C44" t="s">
        <v>182</v>
      </c>
      <c r="D44" s="1" t="s">
        <v>227</v>
      </c>
      <c r="E44">
        <v>2.6</v>
      </c>
      <c r="F44" s="1" t="s">
        <v>228</v>
      </c>
      <c r="G44" t="s">
        <v>229</v>
      </c>
      <c r="H44" t="s">
        <v>229</v>
      </c>
      <c r="I44" t="s">
        <v>20</v>
      </c>
      <c r="J44">
        <v>1958</v>
      </c>
      <c r="K44" t="s">
        <v>53</v>
      </c>
      <c r="L44">
        <v>-1</v>
      </c>
      <c r="M44">
        <v>-1</v>
      </c>
      <c r="N44" t="s">
        <v>41</v>
      </c>
      <c r="O44">
        <v>-1</v>
      </c>
    </row>
    <row r="45" spans="1:15" ht="409.6" x14ac:dyDescent="0.3">
      <c r="A45">
        <v>43</v>
      </c>
      <c r="B45" t="s">
        <v>230</v>
      </c>
      <c r="C45" t="s">
        <v>182</v>
      </c>
      <c r="D45" s="1" t="s">
        <v>231</v>
      </c>
      <c r="E45">
        <v>5</v>
      </c>
      <c r="F45" s="1" t="s">
        <v>232</v>
      </c>
      <c r="G45" t="s">
        <v>233</v>
      </c>
      <c r="H45" t="s">
        <v>233</v>
      </c>
      <c r="I45" t="s">
        <v>52</v>
      </c>
      <c r="J45">
        <v>2019</v>
      </c>
      <c r="K45" t="s">
        <v>53</v>
      </c>
      <c r="L45" t="s">
        <v>67</v>
      </c>
      <c r="M45" t="s">
        <v>67</v>
      </c>
      <c r="N45" t="s">
        <v>24</v>
      </c>
      <c r="O45">
        <v>-1</v>
      </c>
    </row>
    <row r="46" spans="1:15" ht="409.6" x14ac:dyDescent="0.3">
      <c r="A46">
        <v>44</v>
      </c>
      <c r="B46" t="s">
        <v>26</v>
      </c>
      <c r="C46" t="s">
        <v>182</v>
      </c>
      <c r="D46" s="1" t="s">
        <v>234</v>
      </c>
      <c r="E46">
        <v>4.2</v>
      </c>
      <c r="F46" s="1" t="s">
        <v>235</v>
      </c>
      <c r="G46" t="s">
        <v>236</v>
      </c>
      <c r="H46" t="s">
        <v>236</v>
      </c>
      <c r="I46" t="s">
        <v>52</v>
      </c>
      <c r="J46">
        <v>2013</v>
      </c>
      <c r="K46" t="s">
        <v>53</v>
      </c>
      <c r="L46" t="s">
        <v>84</v>
      </c>
      <c r="M46" t="s">
        <v>60</v>
      </c>
      <c r="N46" t="s">
        <v>160</v>
      </c>
      <c r="O46">
        <v>-1</v>
      </c>
    </row>
    <row r="47" spans="1:15" ht="409.6" x14ac:dyDescent="0.3">
      <c r="A47">
        <v>45</v>
      </c>
      <c r="B47" t="s">
        <v>237</v>
      </c>
      <c r="C47" t="s">
        <v>182</v>
      </c>
      <c r="D47" s="1" t="s">
        <v>238</v>
      </c>
      <c r="E47">
        <v>4.0999999999999996</v>
      </c>
      <c r="F47" s="1" t="s">
        <v>239</v>
      </c>
      <c r="G47" t="s">
        <v>64</v>
      </c>
      <c r="H47" t="s">
        <v>19</v>
      </c>
      <c r="I47" t="s">
        <v>66</v>
      </c>
      <c r="J47">
        <v>1849</v>
      </c>
      <c r="K47" t="s">
        <v>32</v>
      </c>
      <c r="L47" t="s">
        <v>67</v>
      </c>
      <c r="M47" t="s">
        <v>67</v>
      </c>
      <c r="N47" t="s">
        <v>68</v>
      </c>
      <c r="O47">
        <v>-1</v>
      </c>
    </row>
    <row r="48" spans="1:15" ht="409.6" x14ac:dyDescent="0.3">
      <c r="A48">
        <v>46</v>
      </c>
      <c r="B48" t="s">
        <v>240</v>
      </c>
      <c r="C48" t="s">
        <v>182</v>
      </c>
      <c r="D48" s="1" t="s">
        <v>241</v>
      </c>
      <c r="E48">
        <v>4.8</v>
      </c>
      <c r="F48" s="1" t="s">
        <v>242</v>
      </c>
      <c r="G48" t="s">
        <v>38</v>
      </c>
      <c r="H48" t="s">
        <v>38</v>
      </c>
      <c r="I48" t="s">
        <v>107</v>
      </c>
      <c r="J48">
        <v>2012</v>
      </c>
      <c r="K48" t="s">
        <v>53</v>
      </c>
      <c r="L48" t="s">
        <v>59</v>
      </c>
      <c r="M48" t="s">
        <v>60</v>
      </c>
      <c r="N48" t="s">
        <v>24</v>
      </c>
      <c r="O48">
        <v>-1</v>
      </c>
    </row>
    <row r="49" spans="1:15" ht="409.6" x14ac:dyDescent="0.3">
      <c r="A49">
        <v>47</v>
      </c>
      <c r="B49" t="s">
        <v>26</v>
      </c>
      <c r="C49" t="s">
        <v>182</v>
      </c>
      <c r="D49" s="1" t="s">
        <v>243</v>
      </c>
      <c r="E49">
        <v>3.3</v>
      </c>
      <c r="F49" s="1" t="s">
        <v>244</v>
      </c>
      <c r="G49" t="s">
        <v>200</v>
      </c>
      <c r="H49" t="s">
        <v>200</v>
      </c>
      <c r="I49" t="s">
        <v>46</v>
      </c>
      <c r="J49">
        <v>2000</v>
      </c>
      <c r="K49" t="s">
        <v>53</v>
      </c>
      <c r="L49" t="s">
        <v>169</v>
      </c>
      <c r="M49" t="s">
        <v>170</v>
      </c>
      <c r="N49" t="s">
        <v>24</v>
      </c>
      <c r="O49">
        <v>-1</v>
      </c>
    </row>
    <row r="50" spans="1:15" ht="409.6" x14ac:dyDescent="0.3">
      <c r="A50">
        <v>48</v>
      </c>
      <c r="B50" t="s">
        <v>26</v>
      </c>
      <c r="C50" t="s">
        <v>182</v>
      </c>
      <c r="D50" s="1" t="s">
        <v>245</v>
      </c>
      <c r="E50">
        <v>3.7</v>
      </c>
      <c r="F50" s="1" t="s">
        <v>246</v>
      </c>
      <c r="G50" t="s">
        <v>143</v>
      </c>
      <c r="H50" t="s">
        <v>247</v>
      </c>
      <c r="I50" t="s">
        <v>20</v>
      </c>
      <c r="J50">
        <v>2016</v>
      </c>
      <c r="K50" t="s">
        <v>98</v>
      </c>
      <c r="L50" t="s">
        <v>118</v>
      </c>
      <c r="M50" t="s">
        <v>98</v>
      </c>
      <c r="N50" t="s">
        <v>24</v>
      </c>
      <c r="O50">
        <v>-1</v>
      </c>
    </row>
    <row r="51" spans="1:15" ht="409.6" x14ac:dyDescent="0.3">
      <c r="A51">
        <v>49</v>
      </c>
      <c r="B51" t="s">
        <v>26</v>
      </c>
      <c r="C51" t="s">
        <v>182</v>
      </c>
      <c r="D51" s="1" t="s">
        <v>248</v>
      </c>
      <c r="E51">
        <v>4.3</v>
      </c>
      <c r="F51" s="1" t="s">
        <v>249</v>
      </c>
      <c r="G51" t="s">
        <v>64</v>
      </c>
      <c r="H51" t="s">
        <v>64</v>
      </c>
      <c r="I51" t="s">
        <v>107</v>
      </c>
      <c r="J51">
        <v>1999</v>
      </c>
      <c r="K51" t="s">
        <v>53</v>
      </c>
      <c r="L51" t="s">
        <v>84</v>
      </c>
      <c r="M51" t="s">
        <v>60</v>
      </c>
      <c r="N51" t="s">
        <v>24</v>
      </c>
      <c r="O51">
        <v>-1</v>
      </c>
    </row>
    <row r="52" spans="1:15" ht="409.6" x14ac:dyDescent="0.3">
      <c r="A52">
        <v>50</v>
      </c>
      <c r="B52" t="s">
        <v>218</v>
      </c>
      <c r="C52" t="s">
        <v>182</v>
      </c>
      <c r="D52" s="1" t="s">
        <v>250</v>
      </c>
      <c r="E52">
        <v>4.8</v>
      </c>
      <c r="F52" s="1" t="s">
        <v>251</v>
      </c>
      <c r="G52" t="s">
        <v>143</v>
      </c>
      <c r="H52" t="s">
        <v>143</v>
      </c>
      <c r="I52" t="s">
        <v>117</v>
      </c>
      <c r="J52">
        <v>2014</v>
      </c>
      <c r="K52" t="s">
        <v>53</v>
      </c>
      <c r="L52" t="s">
        <v>54</v>
      </c>
      <c r="M52" t="s">
        <v>34</v>
      </c>
      <c r="N52" t="s">
        <v>160</v>
      </c>
      <c r="O52">
        <v>-1</v>
      </c>
    </row>
    <row r="53" spans="1:15" ht="409.6" x14ac:dyDescent="0.3">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ht="409.6" x14ac:dyDescent="0.3">
      <c r="A54">
        <v>52</v>
      </c>
      <c r="B54" t="s">
        <v>26</v>
      </c>
      <c r="C54" t="s">
        <v>182</v>
      </c>
      <c r="D54" s="1" t="s">
        <v>256</v>
      </c>
      <c r="E54">
        <v>4</v>
      </c>
      <c r="F54" s="1" t="s">
        <v>257</v>
      </c>
      <c r="G54" t="s">
        <v>143</v>
      </c>
      <c r="H54" t="s">
        <v>258</v>
      </c>
      <c r="I54" t="s">
        <v>46</v>
      </c>
      <c r="J54">
        <v>2012</v>
      </c>
      <c r="K54" t="s">
        <v>53</v>
      </c>
      <c r="L54" t="s">
        <v>84</v>
      </c>
      <c r="M54" t="s">
        <v>60</v>
      </c>
      <c r="N54" t="s">
        <v>24</v>
      </c>
      <c r="O54" t="s">
        <v>259</v>
      </c>
    </row>
    <row r="55" spans="1:15" ht="409.6" x14ac:dyDescent="0.3">
      <c r="A55">
        <v>53</v>
      </c>
      <c r="B55" t="s">
        <v>260</v>
      </c>
      <c r="C55" t="s">
        <v>182</v>
      </c>
      <c r="D55" s="1" t="s">
        <v>261</v>
      </c>
      <c r="E55">
        <v>4.8</v>
      </c>
      <c r="F55" s="1" t="s">
        <v>262</v>
      </c>
      <c r="G55" t="s">
        <v>122</v>
      </c>
      <c r="H55" t="s">
        <v>263</v>
      </c>
      <c r="I55" t="s">
        <v>52</v>
      </c>
      <c r="J55">
        <v>2003</v>
      </c>
      <c r="K55" t="s">
        <v>53</v>
      </c>
      <c r="L55" t="s">
        <v>92</v>
      </c>
      <c r="M55" t="s">
        <v>60</v>
      </c>
      <c r="N55" t="s">
        <v>160</v>
      </c>
      <c r="O55">
        <v>-1</v>
      </c>
    </row>
    <row r="56" spans="1:15" ht="409.6" x14ac:dyDescent="0.3">
      <c r="A56">
        <v>54</v>
      </c>
      <c r="B56" t="s">
        <v>264</v>
      </c>
      <c r="C56" t="s">
        <v>182</v>
      </c>
      <c r="D56" s="1" t="s">
        <v>265</v>
      </c>
      <c r="E56">
        <v>3.5</v>
      </c>
      <c r="F56" s="1" t="s">
        <v>266</v>
      </c>
      <c r="G56" t="s">
        <v>267</v>
      </c>
      <c r="H56" t="s">
        <v>267</v>
      </c>
      <c r="I56" t="s">
        <v>52</v>
      </c>
      <c r="J56">
        <v>1999</v>
      </c>
      <c r="K56" t="s">
        <v>53</v>
      </c>
      <c r="L56" t="s">
        <v>84</v>
      </c>
      <c r="M56" t="s">
        <v>60</v>
      </c>
      <c r="N56" t="s">
        <v>24</v>
      </c>
      <c r="O56">
        <v>-1</v>
      </c>
    </row>
    <row r="57" spans="1:15" ht="409.6" x14ac:dyDescent="0.3">
      <c r="A57">
        <v>55</v>
      </c>
      <c r="B57" t="s">
        <v>268</v>
      </c>
      <c r="C57" t="s">
        <v>182</v>
      </c>
      <c r="D57" s="1" t="s">
        <v>269</v>
      </c>
      <c r="E57">
        <v>3.7</v>
      </c>
      <c r="F57" s="1" t="s">
        <v>270</v>
      </c>
      <c r="G57" t="s">
        <v>271</v>
      </c>
      <c r="H57" t="s">
        <v>271</v>
      </c>
      <c r="I57" t="s">
        <v>31</v>
      </c>
      <c r="J57">
        <v>1926</v>
      </c>
      <c r="K57" t="s">
        <v>21</v>
      </c>
      <c r="L57" t="s">
        <v>139</v>
      </c>
      <c r="M57" t="s">
        <v>140</v>
      </c>
      <c r="N57" t="s">
        <v>41</v>
      </c>
      <c r="O57">
        <v>-1</v>
      </c>
    </row>
    <row r="58" spans="1:15" ht="409.6" x14ac:dyDescent="0.3">
      <c r="A58">
        <v>56</v>
      </c>
      <c r="B58" t="s">
        <v>240</v>
      </c>
      <c r="C58" t="s">
        <v>182</v>
      </c>
      <c r="D58" s="1" t="s">
        <v>272</v>
      </c>
      <c r="E58">
        <v>3.5</v>
      </c>
      <c r="F58" s="1" t="s">
        <v>273</v>
      </c>
      <c r="G58" t="s">
        <v>91</v>
      </c>
      <c r="H58" t="s">
        <v>91</v>
      </c>
      <c r="I58" t="s">
        <v>107</v>
      </c>
      <c r="J58">
        <v>2012</v>
      </c>
      <c r="K58" t="s">
        <v>53</v>
      </c>
      <c r="L58" t="s">
        <v>67</v>
      </c>
      <c r="M58" t="s">
        <v>67</v>
      </c>
      <c r="N58" t="s">
        <v>212</v>
      </c>
      <c r="O58">
        <v>-1</v>
      </c>
    </row>
    <row r="59" spans="1:15" ht="409.6" x14ac:dyDescent="0.3">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ht="409.6" x14ac:dyDescent="0.3">
      <c r="A60">
        <v>58</v>
      </c>
      <c r="B60" t="s">
        <v>26</v>
      </c>
      <c r="C60" t="s">
        <v>182</v>
      </c>
      <c r="D60" s="1" t="s">
        <v>278</v>
      </c>
      <c r="E60">
        <v>3.2</v>
      </c>
      <c r="F60" s="1" t="s">
        <v>279</v>
      </c>
      <c r="G60" t="s">
        <v>143</v>
      </c>
      <c r="H60" t="s">
        <v>143</v>
      </c>
      <c r="I60" t="s">
        <v>20</v>
      </c>
      <c r="J60">
        <v>2011</v>
      </c>
      <c r="K60" t="s">
        <v>53</v>
      </c>
      <c r="L60" t="s">
        <v>280</v>
      </c>
      <c r="M60" t="s">
        <v>281</v>
      </c>
      <c r="N60" t="s">
        <v>24</v>
      </c>
      <c r="O60" t="s">
        <v>282</v>
      </c>
    </row>
    <row r="61" spans="1:15" ht="409.6" x14ac:dyDescent="0.3">
      <c r="A61">
        <v>59</v>
      </c>
      <c r="B61" t="s">
        <v>283</v>
      </c>
      <c r="C61" t="s">
        <v>182</v>
      </c>
      <c r="D61" s="1" t="s">
        <v>284</v>
      </c>
      <c r="E61">
        <v>4.5</v>
      </c>
      <c r="F61" s="1" t="s">
        <v>285</v>
      </c>
      <c r="G61" t="s">
        <v>91</v>
      </c>
      <c r="H61" t="s">
        <v>91</v>
      </c>
      <c r="I61" t="s">
        <v>107</v>
      </c>
      <c r="J61">
        <v>1994</v>
      </c>
      <c r="K61" t="s">
        <v>53</v>
      </c>
      <c r="L61" t="s">
        <v>286</v>
      </c>
      <c r="M61" t="s">
        <v>34</v>
      </c>
      <c r="N61" t="s">
        <v>164</v>
      </c>
      <c r="O61">
        <v>-1</v>
      </c>
    </row>
    <row r="62" spans="1:15" ht="409.6" x14ac:dyDescent="0.3">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ht="409.6" x14ac:dyDescent="0.3">
      <c r="A63">
        <v>61</v>
      </c>
      <c r="B63" t="s">
        <v>221</v>
      </c>
      <c r="C63" t="s">
        <v>182</v>
      </c>
      <c r="D63" s="1" t="s">
        <v>293</v>
      </c>
      <c r="E63">
        <v>4.5</v>
      </c>
      <c r="F63" s="1" t="s">
        <v>294</v>
      </c>
      <c r="G63" t="s">
        <v>295</v>
      </c>
      <c r="H63" t="s">
        <v>295</v>
      </c>
      <c r="I63" t="s">
        <v>107</v>
      </c>
      <c r="J63">
        <v>2010</v>
      </c>
      <c r="K63" t="s">
        <v>53</v>
      </c>
      <c r="L63" t="s">
        <v>175</v>
      </c>
      <c r="M63" t="s">
        <v>175</v>
      </c>
      <c r="N63" t="s">
        <v>41</v>
      </c>
      <c r="O63">
        <v>-1</v>
      </c>
    </row>
    <row r="64" spans="1:15" ht="409.6" x14ac:dyDescent="0.3">
      <c r="A64">
        <v>62</v>
      </c>
      <c r="B64" t="s">
        <v>26</v>
      </c>
      <c r="C64" t="s">
        <v>296</v>
      </c>
      <c r="D64" s="1" t="s">
        <v>69</v>
      </c>
      <c r="E64">
        <v>3.5</v>
      </c>
      <c r="F64" s="1" t="s">
        <v>70</v>
      </c>
      <c r="G64" t="s">
        <v>71</v>
      </c>
      <c r="H64" t="s">
        <v>71</v>
      </c>
      <c r="I64" t="s">
        <v>20</v>
      </c>
      <c r="J64">
        <v>1990</v>
      </c>
      <c r="K64" t="s">
        <v>32</v>
      </c>
      <c r="L64" t="s">
        <v>72</v>
      </c>
      <c r="M64" t="s">
        <v>73</v>
      </c>
      <c r="N64" t="s">
        <v>35</v>
      </c>
      <c r="O64">
        <v>-1</v>
      </c>
    </row>
    <row r="65" spans="1:15" ht="409.6" x14ac:dyDescent="0.3">
      <c r="A65">
        <v>63</v>
      </c>
      <c r="B65" t="s">
        <v>26</v>
      </c>
      <c r="C65" t="s">
        <v>296</v>
      </c>
      <c r="D65" s="1" t="s">
        <v>56</v>
      </c>
      <c r="E65">
        <v>4.2</v>
      </c>
      <c r="F65" s="1" t="s">
        <v>57</v>
      </c>
      <c r="G65" t="s">
        <v>58</v>
      </c>
      <c r="H65" t="s">
        <v>58</v>
      </c>
      <c r="I65" t="s">
        <v>52</v>
      </c>
      <c r="J65">
        <v>2010</v>
      </c>
      <c r="K65" t="s">
        <v>53</v>
      </c>
      <c r="L65" t="s">
        <v>59</v>
      </c>
      <c r="M65" t="s">
        <v>60</v>
      </c>
      <c r="N65" t="s">
        <v>24</v>
      </c>
      <c r="O65">
        <v>-1</v>
      </c>
    </row>
    <row r="66" spans="1:15" ht="409.6" x14ac:dyDescent="0.3">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ht="409.6" x14ac:dyDescent="0.3">
      <c r="A67">
        <v>65</v>
      </c>
      <c r="B67" t="s">
        <v>189</v>
      </c>
      <c r="C67" t="s">
        <v>296</v>
      </c>
      <c r="D67" s="1" t="s">
        <v>304</v>
      </c>
      <c r="E67">
        <v>3.7</v>
      </c>
      <c r="F67" s="1" t="s">
        <v>305</v>
      </c>
      <c r="G67" t="s">
        <v>306</v>
      </c>
      <c r="H67" t="s">
        <v>306</v>
      </c>
      <c r="I67" t="s">
        <v>20</v>
      </c>
      <c r="J67">
        <v>1995</v>
      </c>
      <c r="K67" t="s">
        <v>53</v>
      </c>
      <c r="L67" t="s">
        <v>169</v>
      </c>
      <c r="M67" t="s">
        <v>170</v>
      </c>
      <c r="N67" t="s">
        <v>41</v>
      </c>
      <c r="O67">
        <v>-1</v>
      </c>
    </row>
    <row r="68" spans="1:15" ht="409.6" x14ac:dyDescent="0.3">
      <c r="A68">
        <v>66</v>
      </c>
      <c r="B68" t="s">
        <v>26</v>
      </c>
      <c r="C68" t="s">
        <v>296</v>
      </c>
      <c r="D68" s="1" t="s">
        <v>307</v>
      </c>
      <c r="E68">
        <v>3.7</v>
      </c>
      <c r="F68" s="1" t="s">
        <v>308</v>
      </c>
      <c r="G68" t="s">
        <v>19</v>
      </c>
      <c r="H68" t="s">
        <v>19</v>
      </c>
      <c r="I68" t="s">
        <v>46</v>
      </c>
      <c r="J68">
        <v>2012</v>
      </c>
      <c r="K68" t="s">
        <v>53</v>
      </c>
      <c r="L68" t="s">
        <v>123</v>
      </c>
      <c r="M68" t="s">
        <v>60</v>
      </c>
      <c r="N68" t="s">
        <v>24</v>
      </c>
      <c r="O68">
        <v>-1</v>
      </c>
    </row>
    <row r="69" spans="1:15" ht="409.6" x14ac:dyDescent="0.3">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ht="409.6" x14ac:dyDescent="0.3">
      <c r="A70">
        <v>68</v>
      </c>
      <c r="B70" t="s">
        <v>313</v>
      </c>
      <c r="C70" t="s">
        <v>296</v>
      </c>
      <c r="D70" s="1" t="s">
        <v>314</v>
      </c>
      <c r="E70">
        <v>3.3</v>
      </c>
      <c r="F70" s="1" t="s">
        <v>315</v>
      </c>
      <c r="G70" t="s">
        <v>83</v>
      </c>
      <c r="H70" t="s">
        <v>83</v>
      </c>
      <c r="I70" t="s">
        <v>46</v>
      </c>
      <c r="J70">
        <v>2015</v>
      </c>
      <c r="K70" t="s">
        <v>53</v>
      </c>
      <c r="L70" t="s">
        <v>67</v>
      </c>
      <c r="M70" t="s">
        <v>67</v>
      </c>
      <c r="N70" t="s">
        <v>24</v>
      </c>
      <c r="O70">
        <v>-1</v>
      </c>
    </row>
    <row r="71" spans="1:15" ht="409.6" x14ac:dyDescent="0.3">
      <c r="A71">
        <v>69</v>
      </c>
      <c r="B71" t="s">
        <v>316</v>
      </c>
      <c r="C71" t="s">
        <v>296</v>
      </c>
      <c r="D71" s="1" t="s">
        <v>317</v>
      </c>
      <c r="E71">
        <v>2.5</v>
      </c>
      <c r="F71" s="1" t="s">
        <v>318</v>
      </c>
      <c r="G71" t="s">
        <v>319</v>
      </c>
      <c r="H71" t="s">
        <v>319</v>
      </c>
      <c r="I71" t="s">
        <v>117</v>
      </c>
      <c r="J71">
        <v>-1</v>
      </c>
      <c r="K71" t="s">
        <v>53</v>
      </c>
      <c r="L71" t="s">
        <v>67</v>
      </c>
      <c r="M71" t="s">
        <v>67</v>
      </c>
      <c r="N71" t="s">
        <v>24</v>
      </c>
      <c r="O71" t="s">
        <v>320</v>
      </c>
    </row>
    <row r="72" spans="1:15" ht="409.6" x14ac:dyDescent="0.3">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ht="409.6" x14ac:dyDescent="0.3">
      <c r="A73">
        <v>71</v>
      </c>
      <c r="B73" t="s">
        <v>326</v>
      </c>
      <c r="C73" t="s">
        <v>296</v>
      </c>
      <c r="D73" s="1" t="s">
        <v>327</v>
      </c>
      <c r="E73">
        <v>3.3</v>
      </c>
      <c r="F73" s="1" t="s">
        <v>315</v>
      </c>
      <c r="G73" t="s">
        <v>328</v>
      </c>
      <c r="H73" t="s">
        <v>83</v>
      </c>
      <c r="I73" t="s">
        <v>46</v>
      </c>
      <c r="J73">
        <v>2015</v>
      </c>
      <c r="K73" t="s">
        <v>53</v>
      </c>
      <c r="L73" t="s">
        <v>67</v>
      </c>
      <c r="M73" t="s">
        <v>67</v>
      </c>
      <c r="N73" t="s">
        <v>24</v>
      </c>
      <c r="O73">
        <v>-1</v>
      </c>
    </row>
    <row r="74" spans="1:15" ht="409.6" x14ac:dyDescent="0.3">
      <c r="A74">
        <v>72</v>
      </c>
      <c r="B74" t="s">
        <v>329</v>
      </c>
      <c r="C74" t="s">
        <v>296</v>
      </c>
      <c r="D74" s="1" t="s">
        <v>330</v>
      </c>
      <c r="E74">
        <v>4</v>
      </c>
      <c r="F74" s="1" t="s">
        <v>331</v>
      </c>
      <c r="G74" t="s">
        <v>143</v>
      </c>
      <c r="H74" t="s">
        <v>332</v>
      </c>
      <c r="I74" t="s">
        <v>31</v>
      </c>
      <c r="J74">
        <v>1982</v>
      </c>
      <c r="K74" t="s">
        <v>32</v>
      </c>
      <c r="L74" t="s">
        <v>59</v>
      </c>
      <c r="M74" t="s">
        <v>60</v>
      </c>
      <c r="N74" t="s">
        <v>79</v>
      </c>
      <c r="O74">
        <v>-1</v>
      </c>
    </row>
    <row r="75" spans="1:15" ht="409.6" x14ac:dyDescent="0.3">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ht="409.6" x14ac:dyDescent="0.3">
      <c r="A76">
        <v>74</v>
      </c>
      <c r="B76" t="s">
        <v>340</v>
      </c>
      <c r="C76" t="s">
        <v>296</v>
      </c>
      <c r="D76" s="1" t="s">
        <v>341</v>
      </c>
      <c r="E76">
        <v>4.9000000000000004</v>
      </c>
      <c r="F76" s="1" t="s">
        <v>342</v>
      </c>
      <c r="G76" t="s">
        <v>343</v>
      </c>
      <c r="H76" t="s">
        <v>343</v>
      </c>
      <c r="I76" t="s">
        <v>107</v>
      </c>
      <c r="J76">
        <v>1974</v>
      </c>
      <c r="K76" t="s">
        <v>53</v>
      </c>
      <c r="L76" t="s">
        <v>67</v>
      </c>
      <c r="M76" t="s">
        <v>67</v>
      </c>
      <c r="N76" t="s">
        <v>24</v>
      </c>
      <c r="O76" t="s">
        <v>344</v>
      </c>
    </row>
    <row r="77" spans="1:15" ht="409.6" x14ac:dyDescent="0.3">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ht="409.6" x14ac:dyDescent="0.3">
      <c r="A78">
        <v>76</v>
      </c>
      <c r="B78" t="s">
        <v>349</v>
      </c>
      <c r="C78" t="s">
        <v>296</v>
      </c>
      <c r="D78" s="1" t="s">
        <v>350</v>
      </c>
      <c r="E78">
        <v>3.1</v>
      </c>
      <c r="F78" s="1" t="s">
        <v>18</v>
      </c>
      <c r="G78" t="s">
        <v>19</v>
      </c>
      <c r="H78" t="s">
        <v>19</v>
      </c>
      <c r="I78" t="s">
        <v>20</v>
      </c>
      <c r="J78">
        <v>1993</v>
      </c>
      <c r="K78" t="s">
        <v>21</v>
      </c>
      <c r="L78" t="s">
        <v>22</v>
      </c>
      <c r="M78" t="s">
        <v>23</v>
      </c>
      <c r="N78" t="s">
        <v>24</v>
      </c>
      <c r="O78" t="s">
        <v>25</v>
      </c>
    </row>
    <row r="79" spans="1:15" ht="409.6" x14ac:dyDescent="0.3">
      <c r="A79">
        <v>77</v>
      </c>
      <c r="B79" t="s">
        <v>26</v>
      </c>
      <c r="C79" t="s">
        <v>296</v>
      </c>
      <c r="D79" s="1" t="s">
        <v>351</v>
      </c>
      <c r="E79">
        <v>3.5</v>
      </c>
      <c r="F79" s="1" t="s">
        <v>352</v>
      </c>
      <c r="G79" t="s">
        <v>111</v>
      </c>
      <c r="H79" t="s">
        <v>353</v>
      </c>
      <c r="I79" t="s">
        <v>20</v>
      </c>
      <c r="J79">
        <v>2019</v>
      </c>
      <c r="K79" t="s">
        <v>53</v>
      </c>
      <c r="L79" t="s">
        <v>123</v>
      </c>
      <c r="M79" t="s">
        <v>60</v>
      </c>
      <c r="N79" t="s">
        <v>24</v>
      </c>
      <c r="O79" t="s">
        <v>354</v>
      </c>
    </row>
    <row r="80" spans="1:15" ht="409.6" x14ac:dyDescent="0.3">
      <c r="A80">
        <v>78</v>
      </c>
      <c r="B80" t="s">
        <v>26</v>
      </c>
      <c r="C80" t="s">
        <v>296</v>
      </c>
      <c r="D80" s="1" t="s">
        <v>355</v>
      </c>
      <c r="E80">
        <v>2.9</v>
      </c>
      <c r="F80" s="1" t="s">
        <v>356</v>
      </c>
      <c r="G80" t="s">
        <v>19</v>
      </c>
      <c r="H80" t="s">
        <v>357</v>
      </c>
      <c r="I80" t="s">
        <v>107</v>
      </c>
      <c r="J80">
        <v>1985</v>
      </c>
      <c r="K80" t="s">
        <v>53</v>
      </c>
      <c r="L80" t="s">
        <v>22</v>
      </c>
      <c r="M80" t="s">
        <v>23</v>
      </c>
      <c r="N80" t="s">
        <v>24</v>
      </c>
      <c r="O80" t="s">
        <v>358</v>
      </c>
    </row>
    <row r="81" spans="1:15" ht="409.6" x14ac:dyDescent="0.3">
      <c r="A81">
        <v>79</v>
      </c>
      <c r="B81" t="s">
        <v>359</v>
      </c>
      <c r="C81" t="s">
        <v>296</v>
      </c>
      <c r="D81" s="1" t="s">
        <v>360</v>
      </c>
      <c r="E81">
        <v>3.3</v>
      </c>
      <c r="F81" s="1" t="s">
        <v>361</v>
      </c>
      <c r="G81" t="s">
        <v>362</v>
      </c>
      <c r="H81" t="s">
        <v>362</v>
      </c>
      <c r="I81" t="s">
        <v>107</v>
      </c>
      <c r="J81">
        <v>2003</v>
      </c>
      <c r="K81" t="s">
        <v>32</v>
      </c>
      <c r="L81" t="s">
        <v>67</v>
      </c>
      <c r="M81" t="s">
        <v>67</v>
      </c>
      <c r="N81" t="s">
        <v>41</v>
      </c>
      <c r="O81">
        <v>-1</v>
      </c>
    </row>
    <row r="82" spans="1:15" ht="409.6" x14ac:dyDescent="0.3">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ht="28.8" x14ac:dyDescent="0.3">
      <c r="A83">
        <v>81</v>
      </c>
      <c r="B83" t="s">
        <v>26</v>
      </c>
      <c r="C83" t="s">
        <v>296</v>
      </c>
      <c r="D83" t="s">
        <v>369</v>
      </c>
      <c r="E83">
        <v>3.6</v>
      </c>
      <c r="F83" s="1" t="s">
        <v>370</v>
      </c>
      <c r="G83" t="s">
        <v>111</v>
      </c>
      <c r="H83" t="s">
        <v>371</v>
      </c>
      <c r="I83" t="s">
        <v>52</v>
      </c>
      <c r="J83">
        <v>2001</v>
      </c>
      <c r="K83" t="s">
        <v>53</v>
      </c>
      <c r="L83" t="s">
        <v>92</v>
      </c>
      <c r="M83" t="s">
        <v>60</v>
      </c>
      <c r="N83" t="s">
        <v>164</v>
      </c>
      <c r="O83">
        <v>-1</v>
      </c>
    </row>
    <row r="84" spans="1:15" ht="409.6" x14ac:dyDescent="0.3">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ht="409.6" x14ac:dyDescent="0.3">
      <c r="A85">
        <v>83</v>
      </c>
      <c r="B85" t="s">
        <v>376</v>
      </c>
      <c r="C85" t="s">
        <v>296</v>
      </c>
      <c r="D85" s="1" t="s">
        <v>377</v>
      </c>
      <c r="E85">
        <v>4.9000000000000004</v>
      </c>
      <c r="F85" s="1" t="s">
        <v>378</v>
      </c>
      <c r="G85" t="s">
        <v>379</v>
      </c>
      <c r="H85" t="s">
        <v>83</v>
      </c>
      <c r="I85" t="s">
        <v>117</v>
      </c>
      <c r="J85">
        <v>2016</v>
      </c>
      <c r="K85" t="s">
        <v>53</v>
      </c>
      <c r="L85" t="s">
        <v>286</v>
      </c>
      <c r="M85" t="s">
        <v>34</v>
      </c>
      <c r="N85" t="s">
        <v>24</v>
      </c>
      <c r="O85">
        <v>-1</v>
      </c>
    </row>
    <row r="86" spans="1:15" ht="409.6" x14ac:dyDescent="0.3">
      <c r="A86">
        <v>84</v>
      </c>
      <c r="B86" t="s">
        <v>26</v>
      </c>
      <c r="C86" t="s">
        <v>296</v>
      </c>
      <c r="D86" s="1" t="s">
        <v>380</v>
      </c>
      <c r="E86">
        <v>4.3</v>
      </c>
      <c r="F86" s="1" t="s">
        <v>381</v>
      </c>
      <c r="G86" t="s">
        <v>382</v>
      </c>
      <c r="H86" t="s">
        <v>382</v>
      </c>
      <c r="I86" t="s">
        <v>52</v>
      </c>
      <c r="J86">
        <v>1999</v>
      </c>
      <c r="K86" t="s">
        <v>53</v>
      </c>
      <c r="L86" t="s">
        <v>59</v>
      </c>
      <c r="M86" t="s">
        <v>60</v>
      </c>
      <c r="N86" t="s">
        <v>164</v>
      </c>
      <c r="O86">
        <v>-1</v>
      </c>
    </row>
    <row r="87" spans="1:15" ht="409.6" x14ac:dyDescent="0.3">
      <c r="A87">
        <v>85</v>
      </c>
      <c r="B87" t="s">
        <v>383</v>
      </c>
      <c r="C87" t="s">
        <v>296</v>
      </c>
      <c r="D87" s="1" t="s">
        <v>384</v>
      </c>
      <c r="E87">
        <v>4</v>
      </c>
      <c r="F87" s="1" t="s">
        <v>385</v>
      </c>
      <c r="G87" t="s">
        <v>143</v>
      </c>
      <c r="H87" t="s">
        <v>143</v>
      </c>
      <c r="I87" t="s">
        <v>20</v>
      </c>
      <c r="J87">
        <v>2010</v>
      </c>
      <c r="K87" t="s">
        <v>53</v>
      </c>
      <c r="L87" t="s">
        <v>123</v>
      </c>
      <c r="M87" t="s">
        <v>60</v>
      </c>
      <c r="N87" t="s">
        <v>24</v>
      </c>
      <c r="O87" t="s">
        <v>386</v>
      </c>
    </row>
    <row r="88" spans="1:15" ht="409.6" x14ac:dyDescent="0.3">
      <c r="A88">
        <v>86</v>
      </c>
      <c r="B88" t="s">
        <v>218</v>
      </c>
      <c r="C88" t="s">
        <v>296</v>
      </c>
      <c r="D88" s="1" t="s">
        <v>387</v>
      </c>
      <c r="E88">
        <v>2.6</v>
      </c>
      <c r="F88" s="1" t="s">
        <v>388</v>
      </c>
      <c r="G88" t="s">
        <v>389</v>
      </c>
      <c r="H88" t="s">
        <v>389</v>
      </c>
      <c r="I88" t="s">
        <v>46</v>
      </c>
      <c r="J88">
        <v>1971</v>
      </c>
      <c r="K88" t="s">
        <v>21</v>
      </c>
      <c r="L88" t="s">
        <v>139</v>
      </c>
      <c r="M88" t="s">
        <v>140</v>
      </c>
      <c r="N88" t="s">
        <v>24</v>
      </c>
      <c r="O88">
        <v>-1</v>
      </c>
    </row>
    <row r="89" spans="1:15" ht="409.6" x14ac:dyDescent="0.3">
      <c r="A89">
        <v>87</v>
      </c>
      <c r="B89" t="s">
        <v>390</v>
      </c>
      <c r="C89" t="s">
        <v>296</v>
      </c>
      <c r="D89" s="1" t="s">
        <v>391</v>
      </c>
      <c r="E89">
        <v>4.5</v>
      </c>
      <c r="F89" s="1" t="s">
        <v>392</v>
      </c>
      <c r="G89" t="s">
        <v>393</v>
      </c>
      <c r="H89" t="s">
        <v>393</v>
      </c>
      <c r="I89" t="s">
        <v>52</v>
      </c>
      <c r="J89">
        <v>2003</v>
      </c>
      <c r="K89" t="s">
        <v>53</v>
      </c>
      <c r="L89" t="s">
        <v>59</v>
      </c>
      <c r="M89" t="s">
        <v>60</v>
      </c>
      <c r="N89" t="s">
        <v>160</v>
      </c>
      <c r="O89">
        <v>-1</v>
      </c>
    </row>
    <row r="90" spans="1:15" ht="409.6" x14ac:dyDescent="0.3">
      <c r="A90">
        <v>88</v>
      </c>
      <c r="B90" t="s">
        <v>221</v>
      </c>
      <c r="C90" t="s">
        <v>296</v>
      </c>
      <c r="D90" s="1" t="s">
        <v>394</v>
      </c>
      <c r="E90">
        <v>4.8</v>
      </c>
      <c r="F90" s="1" t="s">
        <v>242</v>
      </c>
      <c r="G90" t="s">
        <v>38</v>
      </c>
      <c r="H90" t="s">
        <v>38</v>
      </c>
      <c r="I90" t="s">
        <v>107</v>
      </c>
      <c r="J90">
        <v>2012</v>
      </c>
      <c r="K90" t="s">
        <v>53</v>
      </c>
      <c r="L90" t="s">
        <v>59</v>
      </c>
      <c r="M90" t="s">
        <v>60</v>
      </c>
      <c r="N90" t="s">
        <v>24</v>
      </c>
      <c r="O90">
        <v>-1</v>
      </c>
    </row>
    <row r="91" spans="1:15" ht="409.6" x14ac:dyDescent="0.3">
      <c r="A91">
        <v>89</v>
      </c>
      <c r="B91" t="s">
        <v>26</v>
      </c>
      <c r="C91" t="s">
        <v>296</v>
      </c>
      <c r="D91" s="1" t="s">
        <v>395</v>
      </c>
      <c r="E91">
        <v>3.9</v>
      </c>
      <c r="F91" s="1" t="s">
        <v>396</v>
      </c>
      <c r="G91" t="s">
        <v>192</v>
      </c>
      <c r="H91" t="s">
        <v>87</v>
      </c>
      <c r="I91" t="s">
        <v>66</v>
      </c>
      <c r="J91">
        <v>1911</v>
      </c>
      <c r="K91" t="s">
        <v>53</v>
      </c>
      <c r="L91" t="s">
        <v>397</v>
      </c>
      <c r="M91" t="s">
        <v>48</v>
      </c>
      <c r="N91" t="s">
        <v>68</v>
      </c>
      <c r="O91">
        <v>-1</v>
      </c>
    </row>
    <row r="92" spans="1:15" ht="409.6" x14ac:dyDescent="0.3">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ht="409.6" x14ac:dyDescent="0.3">
      <c r="A93">
        <v>91</v>
      </c>
      <c r="B93" t="s">
        <v>221</v>
      </c>
      <c r="C93" t="s">
        <v>296</v>
      </c>
      <c r="D93" s="1" t="s">
        <v>400</v>
      </c>
      <c r="E93">
        <v>4.4000000000000004</v>
      </c>
      <c r="F93" s="1" t="s">
        <v>401</v>
      </c>
      <c r="G93" t="s">
        <v>402</v>
      </c>
      <c r="H93" t="s">
        <v>87</v>
      </c>
      <c r="I93" t="s">
        <v>52</v>
      </c>
      <c r="J93">
        <v>1999</v>
      </c>
      <c r="K93" t="s">
        <v>53</v>
      </c>
      <c r="L93" t="s">
        <v>92</v>
      </c>
      <c r="M93" t="s">
        <v>60</v>
      </c>
      <c r="N93" t="s">
        <v>403</v>
      </c>
      <c r="O93">
        <v>-1</v>
      </c>
    </row>
    <row r="94" spans="1:15" ht="409.6" x14ac:dyDescent="0.3">
      <c r="A94">
        <v>92</v>
      </c>
      <c r="B94" t="s">
        <v>240</v>
      </c>
      <c r="C94" t="s">
        <v>296</v>
      </c>
      <c r="D94" s="1" t="s">
        <v>404</v>
      </c>
      <c r="E94">
        <v>4.2</v>
      </c>
      <c r="F94" s="1" t="s">
        <v>28</v>
      </c>
      <c r="G94" t="s">
        <v>405</v>
      </c>
      <c r="H94" t="s">
        <v>30</v>
      </c>
      <c r="I94" t="s">
        <v>31</v>
      </c>
      <c r="J94">
        <v>1968</v>
      </c>
      <c r="K94" t="s">
        <v>32</v>
      </c>
      <c r="L94" t="s">
        <v>33</v>
      </c>
      <c r="M94" t="s">
        <v>34</v>
      </c>
      <c r="N94" t="s">
        <v>35</v>
      </c>
      <c r="O94">
        <v>-1</v>
      </c>
    </row>
    <row r="95" spans="1:15" ht="409.6" x14ac:dyDescent="0.3">
      <c r="A95">
        <v>93</v>
      </c>
      <c r="B95" t="s">
        <v>406</v>
      </c>
      <c r="C95" t="s">
        <v>296</v>
      </c>
      <c r="D95" s="1" t="s">
        <v>407</v>
      </c>
      <c r="E95">
        <v>3.6</v>
      </c>
      <c r="F95" s="1" t="s">
        <v>408</v>
      </c>
      <c r="G95" t="s">
        <v>409</v>
      </c>
      <c r="H95" t="s">
        <v>410</v>
      </c>
      <c r="I95" t="s">
        <v>107</v>
      </c>
      <c r="J95">
        <v>1997</v>
      </c>
      <c r="K95" t="s">
        <v>53</v>
      </c>
      <c r="L95" t="s">
        <v>411</v>
      </c>
      <c r="M95" t="s">
        <v>170</v>
      </c>
      <c r="N95" t="s">
        <v>24</v>
      </c>
      <c r="O95">
        <v>-1</v>
      </c>
    </row>
    <row r="96" spans="1:15" ht="409.6" x14ac:dyDescent="0.3">
      <c r="A96">
        <v>94</v>
      </c>
      <c r="B96" t="s">
        <v>26</v>
      </c>
      <c r="C96" t="s">
        <v>412</v>
      </c>
      <c r="D96" s="1" t="s">
        <v>109</v>
      </c>
      <c r="E96">
        <v>3.4</v>
      </c>
      <c r="F96" s="1" t="s">
        <v>110</v>
      </c>
      <c r="G96" t="s">
        <v>111</v>
      </c>
      <c r="H96" t="s">
        <v>112</v>
      </c>
      <c r="I96" t="s">
        <v>20</v>
      </c>
      <c r="J96">
        <v>1986</v>
      </c>
      <c r="K96" t="s">
        <v>53</v>
      </c>
      <c r="L96" t="s">
        <v>40</v>
      </c>
      <c r="M96" t="s">
        <v>34</v>
      </c>
      <c r="N96" t="s">
        <v>41</v>
      </c>
      <c r="O96">
        <v>-1</v>
      </c>
    </row>
    <row r="97" spans="1:15" ht="43.2" x14ac:dyDescent="0.3">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ht="409.6" x14ac:dyDescent="0.3">
      <c r="A98">
        <v>96</v>
      </c>
      <c r="B98" t="s">
        <v>268</v>
      </c>
      <c r="C98" t="s">
        <v>412</v>
      </c>
      <c r="D98" s="1" t="s">
        <v>413</v>
      </c>
      <c r="E98">
        <v>3.5</v>
      </c>
      <c r="F98" s="1" t="s">
        <v>414</v>
      </c>
      <c r="G98" t="s">
        <v>415</v>
      </c>
      <c r="H98" t="s">
        <v>415</v>
      </c>
      <c r="I98" t="s">
        <v>52</v>
      </c>
      <c r="J98">
        <v>2015</v>
      </c>
      <c r="K98" t="s">
        <v>53</v>
      </c>
      <c r="L98" t="s">
        <v>84</v>
      </c>
      <c r="M98" t="s">
        <v>60</v>
      </c>
      <c r="N98" t="s">
        <v>160</v>
      </c>
      <c r="O98">
        <v>-1</v>
      </c>
    </row>
    <row r="99" spans="1:15" ht="409.6" x14ac:dyDescent="0.3">
      <c r="A99">
        <v>97</v>
      </c>
      <c r="B99" t="s">
        <v>416</v>
      </c>
      <c r="C99" t="s">
        <v>412</v>
      </c>
      <c r="D99" s="1" t="s">
        <v>417</v>
      </c>
      <c r="E99">
        <v>3.9</v>
      </c>
      <c r="F99" s="1" t="s">
        <v>396</v>
      </c>
      <c r="G99" t="s">
        <v>19</v>
      </c>
      <c r="H99" t="s">
        <v>87</v>
      </c>
      <c r="I99" t="s">
        <v>66</v>
      </c>
      <c r="J99">
        <v>1911</v>
      </c>
      <c r="K99" t="s">
        <v>53</v>
      </c>
      <c r="L99" t="s">
        <v>397</v>
      </c>
      <c r="M99" t="s">
        <v>48</v>
      </c>
      <c r="N99" t="s">
        <v>68</v>
      </c>
      <c r="O99">
        <v>-1</v>
      </c>
    </row>
    <row r="100" spans="1:15" ht="409.6" x14ac:dyDescent="0.3">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ht="409.6" x14ac:dyDescent="0.3">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ht="409.6" x14ac:dyDescent="0.3">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v>-1</v>
      </c>
    </row>
    <row r="103" spans="1:15" ht="409.6" x14ac:dyDescent="0.3">
      <c r="A103">
        <v>101</v>
      </c>
      <c r="B103" t="s">
        <v>221</v>
      </c>
      <c r="C103" t="s">
        <v>412</v>
      </c>
      <c r="D103" s="1" t="s">
        <v>432</v>
      </c>
      <c r="E103">
        <v>4.4000000000000004</v>
      </c>
      <c r="F103" s="1" t="s">
        <v>433</v>
      </c>
      <c r="G103" t="s">
        <v>434</v>
      </c>
      <c r="H103" t="s">
        <v>434</v>
      </c>
      <c r="I103" t="s">
        <v>117</v>
      </c>
      <c r="J103">
        <v>2007</v>
      </c>
      <c r="K103" t="s">
        <v>53</v>
      </c>
      <c r="L103" t="s">
        <v>175</v>
      </c>
      <c r="M103" t="s">
        <v>175</v>
      </c>
      <c r="N103" t="s">
        <v>24</v>
      </c>
      <c r="O103">
        <v>-1</v>
      </c>
    </row>
    <row r="104" spans="1:15" ht="409.6" x14ac:dyDescent="0.3">
      <c r="A104">
        <v>102</v>
      </c>
      <c r="B104" t="s">
        <v>435</v>
      </c>
      <c r="C104" t="s">
        <v>412</v>
      </c>
      <c r="D104" s="1" t="s">
        <v>436</v>
      </c>
      <c r="E104">
        <v>4.0999999999999996</v>
      </c>
      <c r="F104" s="1" t="s">
        <v>437</v>
      </c>
      <c r="G104" t="s">
        <v>58</v>
      </c>
      <c r="H104" t="s">
        <v>438</v>
      </c>
      <c r="I104" t="s">
        <v>52</v>
      </c>
      <c r="J104">
        <v>2012</v>
      </c>
      <c r="K104" t="s">
        <v>53</v>
      </c>
      <c r="L104" t="s">
        <v>123</v>
      </c>
      <c r="M104" t="s">
        <v>60</v>
      </c>
      <c r="N104" t="s">
        <v>24</v>
      </c>
      <c r="O104">
        <v>-1</v>
      </c>
    </row>
    <row r="105" spans="1:15" ht="409.6" x14ac:dyDescent="0.3">
      <c r="A105">
        <v>103</v>
      </c>
      <c r="B105" t="s">
        <v>240</v>
      </c>
      <c r="C105" t="s">
        <v>412</v>
      </c>
      <c r="D105" s="1" t="s">
        <v>439</v>
      </c>
      <c r="E105">
        <v>4</v>
      </c>
      <c r="F105" s="1" t="s">
        <v>331</v>
      </c>
      <c r="G105" t="s">
        <v>143</v>
      </c>
      <c r="H105" t="s">
        <v>332</v>
      </c>
      <c r="I105" t="s">
        <v>31</v>
      </c>
      <c r="J105">
        <v>1982</v>
      </c>
      <c r="K105" t="s">
        <v>32</v>
      </c>
      <c r="L105" t="s">
        <v>59</v>
      </c>
      <c r="M105" t="s">
        <v>60</v>
      </c>
      <c r="N105" t="s">
        <v>79</v>
      </c>
      <c r="O105">
        <v>-1</v>
      </c>
    </row>
    <row r="106" spans="1:15" ht="43.2" x14ac:dyDescent="0.3">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ht="409.6" x14ac:dyDescent="0.3">
      <c r="A107">
        <v>105</v>
      </c>
      <c r="B107" t="s">
        <v>26</v>
      </c>
      <c r="C107" t="s">
        <v>412</v>
      </c>
      <c r="D107" s="1" t="s">
        <v>442</v>
      </c>
      <c r="E107">
        <v>3.8</v>
      </c>
      <c r="F107" s="1" t="s">
        <v>443</v>
      </c>
      <c r="G107" t="s">
        <v>444</v>
      </c>
      <c r="H107" t="s">
        <v>445</v>
      </c>
      <c r="I107" t="s">
        <v>46</v>
      </c>
      <c r="J107">
        <v>1973</v>
      </c>
      <c r="K107" t="s">
        <v>53</v>
      </c>
      <c r="L107" t="s">
        <v>175</v>
      </c>
      <c r="M107" t="s">
        <v>175</v>
      </c>
      <c r="N107" t="s">
        <v>194</v>
      </c>
      <c r="O107">
        <v>-1</v>
      </c>
    </row>
    <row r="108" spans="1:15" ht="409.6" x14ac:dyDescent="0.3">
      <c r="A108">
        <v>106</v>
      </c>
      <c r="B108" t="s">
        <v>446</v>
      </c>
      <c r="C108" t="s">
        <v>412</v>
      </c>
      <c r="D108" s="1" t="s">
        <v>447</v>
      </c>
      <c r="E108">
        <v>3.2</v>
      </c>
      <c r="F108" s="1" t="s">
        <v>448</v>
      </c>
      <c r="G108" t="s">
        <v>449</v>
      </c>
      <c r="H108" t="s">
        <v>450</v>
      </c>
      <c r="I108" t="s">
        <v>46</v>
      </c>
      <c r="J108">
        <v>1981</v>
      </c>
      <c r="K108" t="s">
        <v>32</v>
      </c>
      <c r="L108" t="s">
        <v>139</v>
      </c>
      <c r="M108" t="s">
        <v>140</v>
      </c>
      <c r="N108" t="s">
        <v>24</v>
      </c>
      <c r="O108">
        <v>-1</v>
      </c>
    </row>
    <row r="109" spans="1:15" ht="409.6" x14ac:dyDescent="0.3">
      <c r="A109">
        <v>107</v>
      </c>
      <c r="B109" t="s">
        <v>189</v>
      </c>
      <c r="C109" t="s">
        <v>412</v>
      </c>
      <c r="D109" s="1" t="s">
        <v>451</v>
      </c>
      <c r="E109">
        <v>2.9</v>
      </c>
      <c r="F109" s="1" t="s">
        <v>452</v>
      </c>
      <c r="G109" t="s">
        <v>453</v>
      </c>
      <c r="H109" t="s">
        <v>453</v>
      </c>
      <c r="I109" t="s">
        <v>52</v>
      </c>
      <c r="J109">
        <v>2011</v>
      </c>
      <c r="K109" t="s">
        <v>53</v>
      </c>
      <c r="L109" t="s">
        <v>67</v>
      </c>
      <c r="M109" t="s">
        <v>67</v>
      </c>
      <c r="N109" t="s">
        <v>160</v>
      </c>
      <c r="O109">
        <v>-1</v>
      </c>
    </row>
    <row r="110" spans="1:15" ht="409.6" x14ac:dyDescent="0.3">
      <c r="A110">
        <v>108</v>
      </c>
      <c r="B110" t="s">
        <v>454</v>
      </c>
      <c r="C110" t="s">
        <v>412</v>
      </c>
      <c r="D110" s="1" t="s">
        <v>455</v>
      </c>
      <c r="E110">
        <v>4.0999999999999996</v>
      </c>
      <c r="F110" s="1" t="s">
        <v>456</v>
      </c>
      <c r="G110" t="s">
        <v>77</v>
      </c>
      <c r="H110" t="s">
        <v>236</v>
      </c>
      <c r="I110" t="s">
        <v>66</v>
      </c>
      <c r="J110">
        <v>1939</v>
      </c>
      <c r="K110" t="s">
        <v>32</v>
      </c>
      <c r="L110" t="s">
        <v>59</v>
      </c>
      <c r="M110" t="s">
        <v>60</v>
      </c>
      <c r="N110" t="s">
        <v>24</v>
      </c>
      <c r="O110">
        <v>-1</v>
      </c>
    </row>
    <row r="111" spans="1:15" ht="409.6" x14ac:dyDescent="0.3">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ht="409.6" x14ac:dyDescent="0.3">
      <c r="A112">
        <v>110</v>
      </c>
      <c r="B112" t="s">
        <v>460</v>
      </c>
      <c r="C112" t="s">
        <v>412</v>
      </c>
      <c r="D112" s="1" t="s">
        <v>461</v>
      </c>
      <c r="E112">
        <v>3.2</v>
      </c>
      <c r="F112" s="1" t="s">
        <v>462</v>
      </c>
      <c r="G112" t="s">
        <v>463</v>
      </c>
      <c r="H112" t="s">
        <v>19</v>
      </c>
      <c r="I112" t="s">
        <v>20</v>
      </c>
      <c r="J112">
        <v>1967</v>
      </c>
      <c r="K112" t="s">
        <v>32</v>
      </c>
      <c r="L112" t="s">
        <v>169</v>
      </c>
      <c r="M112" t="s">
        <v>170</v>
      </c>
      <c r="N112" t="s">
        <v>79</v>
      </c>
      <c r="O112">
        <v>-1</v>
      </c>
    </row>
    <row r="113" spans="1:15" ht="409.6" x14ac:dyDescent="0.3">
      <c r="A113">
        <v>111</v>
      </c>
      <c r="B113" t="s">
        <v>218</v>
      </c>
      <c r="C113" t="s">
        <v>412</v>
      </c>
      <c r="D113" s="1" t="s">
        <v>464</v>
      </c>
      <c r="E113">
        <v>4.9000000000000004</v>
      </c>
      <c r="F113" s="1" t="s">
        <v>465</v>
      </c>
      <c r="G113" t="s">
        <v>466</v>
      </c>
      <c r="H113" t="s">
        <v>467</v>
      </c>
      <c r="I113" t="s">
        <v>52</v>
      </c>
      <c r="J113">
        <v>2013</v>
      </c>
      <c r="K113" t="s">
        <v>301</v>
      </c>
      <c r="L113" t="s">
        <v>468</v>
      </c>
      <c r="M113" t="s">
        <v>469</v>
      </c>
      <c r="N113" t="s">
        <v>24</v>
      </c>
      <c r="O113">
        <v>-1</v>
      </c>
    </row>
    <row r="114" spans="1:15" ht="409.6" x14ac:dyDescent="0.3">
      <c r="A114">
        <v>112</v>
      </c>
      <c r="B114" t="s">
        <v>470</v>
      </c>
      <c r="C114" t="s">
        <v>412</v>
      </c>
      <c r="D114" s="1" t="s">
        <v>471</v>
      </c>
      <c r="E114">
        <v>3.5</v>
      </c>
      <c r="F114" s="1" t="s">
        <v>472</v>
      </c>
      <c r="G114" t="s">
        <v>30</v>
      </c>
      <c r="H114" t="s">
        <v>473</v>
      </c>
      <c r="I114" t="s">
        <v>31</v>
      </c>
      <c r="J114">
        <v>-1</v>
      </c>
      <c r="K114" t="s">
        <v>32</v>
      </c>
      <c r="L114" t="s">
        <v>175</v>
      </c>
      <c r="M114" t="s">
        <v>175</v>
      </c>
      <c r="N114" t="s">
        <v>79</v>
      </c>
      <c r="O114">
        <v>-1</v>
      </c>
    </row>
    <row r="115" spans="1:15" ht="409.6" x14ac:dyDescent="0.3">
      <c r="A115">
        <v>113</v>
      </c>
      <c r="B115" t="s">
        <v>189</v>
      </c>
      <c r="C115" t="s">
        <v>412</v>
      </c>
      <c r="D115" s="1" t="s">
        <v>474</v>
      </c>
      <c r="E115">
        <v>5</v>
      </c>
      <c r="F115" s="1" t="s">
        <v>475</v>
      </c>
      <c r="G115" t="s">
        <v>476</v>
      </c>
      <c r="H115" t="s">
        <v>476</v>
      </c>
      <c r="I115" t="s">
        <v>117</v>
      </c>
      <c r="J115">
        <v>2016</v>
      </c>
      <c r="K115" t="s">
        <v>53</v>
      </c>
      <c r="L115" t="s">
        <v>59</v>
      </c>
      <c r="M115" t="s">
        <v>60</v>
      </c>
      <c r="N115" t="s">
        <v>24</v>
      </c>
      <c r="O115">
        <v>-1</v>
      </c>
    </row>
    <row r="116" spans="1:15" ht="409.6" x14ac:dyDescent="0.3">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ht="409.6" x14ac:dyDescent="0.3">
      <c r="A117">
        <v>115</v>
      </c>
      <c r="B117" t="s">
        <v>26</v>
      </c>
      <c r="C117" t="s">
        <v>412</v>
      </c>
      <c r="D117" s="1" t="s">
        <v>480</v>
      </c>
      <c r="E117">
        <v>3.6</v>
      </c>
      <c r="F117" s="1" t="s">
        <v>481</v>
      </c>
      <c r="G117" t="s">
        <v>19</v>
      </c>
      <c r="H117" t="s">
        <v>19</v>
      </c>
      <c r="I117" t="s">
        <v>117</v>
      </c>
      <c r="J117">
        <v>2016</v>
      </c>
      <c r="K117" t="s">
        <v>53</v>
      </c>
      <c r="L117" t="s">
        <v>139</v>
      </c>
      <c r="M117" t="s">
        <v>140</v>
      </c>
      <c r="N117" t="s">
        <v>24</v>
      </c>
      <c r="O117">
        <v>-1</v>
      </c>
    </row>
    <row r="118" spans="1:15" ht="409.6" x14ac:dyDescent="0.3">
      <c r="A118">
        <v>116</v>
      </c>
      <c r="B118" t="s">
        <v>482</v>
      </c>
      <c r="C118" t="s">
        <v>412</v>
      </c>
      <c r="D118" s="1" t="s">
        <v>483</v>
      </c>
      <c r="E118">
        <v>4</v>
      </c>
      <c r="F118" s="1" t="s">
        <v>484</v>
      </c>
      <c r="G118" t="s">
        <v>485</v>
      </c>
      <c r="H118" t="s">
        <v>485</v>
      </c>
      <c r="I118" t="s">
        <v>52</v>
      </c>
      <c r="J118">
        <v>2002</v>
      </c>
      <c r="K118" t="s">
        <v>53</v>
      </c>
      <c r="L118" t="s">
        <v>59</v>
      </c>
      <c r="M118" t="s">
        <v>60</v>
      </c>
      <c r="N118" t="s">
        <v>403</v>
      </c>
      <c r="O118">
        <v>-1</v>
      </c>
    </row>
    <row r="119" spans="1:15" ht="409.6" x14ac:dyDescent="0.3">
      <c r="A119">
        <v>117</v>
      </c>
      <c r="B119" t="s">
        <v>486</v>
      </c>
      <c r="C119" t="s">
        <v>412</v>
      </c>
      <c r="D119" s="1" t="s">
        <v>487</v>
      </c>
      <c r="E119">
        <v>3.2</v>
      </c>
      <c r="F119" s="1" t="s">
        <v>462</v>
      </c>
      <c r="G119" t="s">
        <v>463</v>
      </c>
      <c r="H119" t="s">
        <v>19</v>
      </c>
      <c r="I119" t="s">
        <v>20</v>
      </c>
      <c r="J119">
        <v>1967</v>
      </c>
      <c r="K119" t="s">
        <v>32</v>
      </c>
      <c r="L119" t="s">
        <v>169</v>
      </c>
      <c r="M119" t="s">
        <v>170</v>
      </c>
      <c r="N119" t="s">
        <v>79</v>
      </c>
      <c r="O119">
        <v>-1</v>
      </c>
    </row>
    <row r="120" spans="1:15" ht="409.6" x14ac:dyDescent="0.3">
      <c r="A120">
        <v>118</v>
      </c>
      <c r="B120" t="s">
        <v>488</v>
      </c>
      <c r="C120" t="s">
        <v>412</v>
      </c>
      <c r="D120" s="1" t="s">
        <v>489</v>
      </c>
      <c r="E120">
        <v>5</v>
      </c>
      <c r="F120" s="1" t="s">
        <v>232</v>
      </c>
      <c r="G120" t="s">
        <v>233</v>
      </c>
      <c r="H120" t="s">
        <v>233</v>
      </c>
      <c r="I120" t="s">
        <v>52</v>
      </c>
      <c r="J120">
        <v>2019</v>
      </c>
      <c r="K120" t="s">
        <v>53</v>
      </c>
      <c r="L120" t="s">
        <v>67</v>
      </c>
      <c r="M120" t="s">
        <v>67</v>
      </c>
      <c r="N120" t="s">
        <v>24</v>
      </c>
      <c r="O120">
        <v>-1</v>
      </c>
    </row>
    <row r="121" spans="1:15" ht="409.6" x14ac:dyDescent="0.3">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ht="409.6" x14ac:dyDescent="0.3">
      <c r="A122">
        <v>120</v>
      </c>
      <c r="B122" t="s">
        <v>26</v>
      </c>
      <c r="C122" t="s">
        <v>412</v>
      </c>
      <c r="D122" s="1" t="s">
        <v>494</v>
      </c>
      <c r="E122">
        <v>4.5</v>
      </c>
      <c r="F122" s="1" t="s">
        <v>495</v>
      </c>
      <c r="G122" t="s">
        <v>496</v>
      </c>
      <c r="H122" t="s">
        <v>497</v>
      </c>
      <c r="I122" t="s">
        <v>52</v>
      </c>
      <c r="J122">
        <v>2006</v>
      </c>
      <c r="K122" t="s">
        <v>53</v>
      </c>
      <c r="L122" t="s">
        <v>40</v>
      </c>
      <c r="M122" t="s">
        <v>34</v>
      </c>
      <c r="N122" t="s">
        <v>24</v>
      </c>
      <c r="O122" t="s">
        <v>498</v>
      </c>
    </row>
    <row r="123" spans="1:15" ht="409.6" x14ac:dyDescent="0.3">
      <c r="A123">
        <v>121</v>
      </c>
      <c r="B123" t="s">
        <v>499</v>
      </c>
      <c r="C123" t="s">
        <v>412</v>
      </c>
      <c r="D123" s="1" t="s">
        <v>500</v>
      </c>
      <c r="E123">
        <v>4.7</v>
      </c>
      <c r="F123" s="1" t="s">
        <v>501</v>
      </c>
      <c r="G123" t="s">
        <v>143</v>
      </c>
      <c r="H123" t="s">
        <v>143</v>
      </c>
      <c r="I123" t="s">
        <v>52</v>
      </c>
      <c r="J123">
        <v>2015</v>
      </c>
      <c r="K123" t="s">
        <v>53</v>
      </c>
      <c r="L123" t="s">
        <v>123</v>
      </c>
      <c r="M123" t="s">
        <v>60</v>
      </c>
      <c r="N123" t="s">
        <v>24</v>
      </c>
      <c r="O123">
        <v>-1</v>
      </c>
    </row>
    <row r="124" spans="1:15" ht="409.6" x14ac:dyDescent="0.3">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ht="409.6" x14ac:dyDescent="0.3">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ht="409.6" x14ac:dyDescent="0.3">
      <c r="A126">
        <v>124</v>
      </c>
      <c r="B126" t="s">
        <v>202</v>
      </c>
      <c r="C126" t="s">
        <v>412</v>
      </c>
      <c r="D126" s="1" t="s">
        <v>503</v>
      </c>
      <c r="E126">
        <v>3.4</v>
      </c>
      <c r="F126" s="1" t="s">
        <v>504</v>
      </c>
      <c r="G126" t="s">
        <v>505</v>
      </c>
      <c r="H126" t="s">
        <v>505</v>
      </c>
      <c r="I126" t="s">
        <v>52</v>
      </c>
      <c r="J126">
        <v>2006</v>
      </c>
      <c r="K126" t="s">
        <v>53</v>
      </c>
      <c r="L126" t="s">
        <v>506</v>
      </c>
      <c r="M126" t="s">
        <v>281</v>
      </c>
      <c r="N126" t="s">
        <v>24</v>
      </c>
      <c r="O126">
        <v>-1</v>
      </c>
    </row>
    <row r="127" spans="1:15" ht="409.6" x14ac:dyDescent="0.3">
      <c r="A127">
        <v>125</v>
      </c>
      <c r="B127" t="s">
        <v>507</v>
      </c>
      <c r="C127" t="s">
        <v>412</v>
      </c>
      <c r="D127" s="1" t="s">
        <v>508</v>
      </c>
      <c r="E127">
        <v>3.8</v>
      </c>
      <c r="F127" s="1" t="s">
        <v>509</v>
      </c>
      <c r="G127" t="s">
        <v>510</v>
      </c>
      <c r="H127" t="s">
        <v>511</v>
      </c>
      <c r="I127" t="s">
        <v>31</v>
      </c>
      <c r="J127">
        <v>1996</v>
      </c>
      <c r="K127" t="s">
        <v>32</v>
      </c>
      <c r="L127" t="s">
        <v>512</v>
      </c>
      <c r="M127" t="s">
        <v>513</v>
      </c>
      <c r="N127" t="s">
        <v>79</v>
      </c>
      <c r="O127">
        <v>-1</v>
      </c>
    </row>
    <row r="128" spans="1:15" ht="409.6" x14ac:dyDescent="0.3">
      <c r="A128">
        <v>126</v>
      </c>
      <c r="B128" t="s">
        <v>26</v>
      </c>
      <c r="C128" t="s">
        <v>514</v>
      </c>
      <c r="D128" s="1" t="s">
        <v>89</v>
      </c>
      <c r="E128">
        <v>4.7</v>
      </c>
      <c r="F128" s="1" t="s">
        <v>90</v>
      </c>
      <c r="G128" t="s">
        <v>91</v>
      </c>
      <c r="H128" t="s">
        <v>91</v>
      </c>
      <c r="I128" t="s">
        <v>52</v>
      </c>
      <c r="J128">
        <v>2016</v>
      </c>
      <c r="K128" t="s">
        <v>53</v>
      </c>
      <c r="L128" t="s">
        <v>92</v>
      </c>
      <c r="M128" t="s">
        <v>60</v>
      </c>
      <c r="N128" t="s">
        <v>24</v>
      </c>
      <c r="O128" t="s">
        <v>93</v>
      </c>
    </row>
    <row r="129" spans="1:15" ht="409.6" x14ac:dyDescent="0.3">
      <c r="A129">
        <v>127</v>
      </c>
      <c r="B129" t="s">
        <v>26</v>
      </c>
      <c r="C129" t="s">
        <v>514</v>
      </c>
      <c r="D129" s="1" t="s">
        <v>81</v>
      </c>
      <c r="E129">
        <v>3.6</v>
      </c>
      <c r="F129" s="1" t="s">
        <v>82</v>
      </c>
      <c r="G129" t="s">
        <v>83</v>
      </c>
      <c r="H129" t="s">
        <v>83</v>
      </c>
      <c r="I129" t="s">
        <v>52</v>
      </c>
      <c r="J129">
        <v>2014</v>
      </c>
      <c r="K129" t="s">
        <v>53</v>
      </c>
      <c r="L129" t="s">
        <v>84</v>
      </c>
      <c r="M129" t="s">
        <v>60</v>
      </c>
      <c r="N129" t="s">
        <v>24</v>
      </c>
      <c r="O129">
        <v>-1</v>
      </c>
    </row>
    <row r="130" spans="1:15" ht="409.6" x14ac:dyDescent="0.3">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ht="409.6" x14ac:dyDescent="0.3">
      <c r="A131">
        <v>129</v>
      </c>
      <c r="B131" t="s">
        <v>507</v>
      </c>
      <c r="C131" t="s">
        <v>514</v>
      </c>
      <c r="D131" s="1" t="s">
        <v>508</v>
      </c>
      <c r="E131">
        <v>3.8</v>
      </c>
      <c r="F131" s="1" t="s">
        <v>509</v>
      </c>
      <c r="G131" t="s">
        <v>510</v>
      </c>
      <c r="H131" t="s">
        <v>511</v>
      </c>
      <c r="I131" t="s">
        <v>31</v>
      </c>
      <c r="J131">
        <v>1996</v>
      </c>
      <c r="K131" t="s">
        <v>32</v>
      </c>
      <c r="L131" t="s">
        <v>512</v>
      </c>
      <c r="M131" t="s">
        <v>513</v>
      </c>
      <c r="N131" t="s">
        <v>79</v>
      </c>
      <c r="O131">
        <v>-1</v>
      </c>
    </row>
    <row r="132" spans="1:15" ht="409.6" x14ac:dyDescent="0.3">
      <c r="A132">
        <v>130</v>
      </c>
      <c r="B132" t="s">
        <v>26</v>
      </c>
      <c r="C132" t="s">
        <v>514</v>
      </c>
      <c r="D132" s="1" t="s">
        <v>515</v>
      </c>
      <c r="E132">
        <v>5</v>
      </c>
      <c r="F132" s="1" t="s">
        <v>516</v>
      </c>
      <c r="G132" t="s">
        <v>143</v>
      </c>
      <c r="H132" t="s">
        <v>143</v>
      </c>
      <c r="I132" t="s">
        <v>117</v>
      </c>
      <c r="J132">
        <v>2016</v>
      </c>
      <c r="K132" t="s">
        <v>53</v>
      </c>
      <c r="L132" t="s">
        <v>84</v>
      </c>
      <c r="M132" t="s">
        <v>60</v>
      </c>
      <c r="N132" t="s">
        <v>24</v>
      </c>
      <c r="O132">
        <v>-1</v>
      </c>
    </row>
    <row r="133" spans="1:15" ht="409.6" x14ac:dyDescent="0.3">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v>-1</v>
      </c>
    </row>
    <row r="134" spans="1:15" ht="409.6" x14ac:dyDescent="0.3">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v>-1</v>
      </c>
    </row>
    <row r="135" spans="1:15" ht="409.6" x14ac:dyDescent="0.3">
      <c r="A135">
        <v>133</v>
      </c>
      <c r="B135" t="s">
        <v>26</v>
      </c>
      <c r="C135" t="s">
        <v>514</v>
      </c>
      <c r="D135" s="1" t="s">
        <v>524</v>
      </c>
      <c r="E135">
        <v>3.3</v>
      </c>
      <c r="F135" s="1" t="s">
        <v>525</v>
      </c>
      <c r="G135" t="s">
        <v>526</v>
      </c>
      <c r="H135" t="s">
        <v>526</v>
      </c>
      <c r="I135" t="s">
        <v>20</v>
      </c>
      <c r="J135">
        <v>2012</v>
      </c>
      <c r="K135" t="s">
        <v>53</v>
      </c>
      <c r="L135" t="s">
        <v>59</v>
      </c>
      <c r="M135" t="s">
        <v>60</v>
      </c>
      <c r="N135" t="s">
        <v>41</v>
      </c>
      <c r="O135">
        <v>-1</v>
      </c>
    </row>
    <row r="136" spans="1:15" ht="409.6" x14ac:dyDescent="0.3">
      <c r="A136">
        <v>134</v>
      </c>
      <c r="B136" t="s">
        <v>221</v>
      </c>
      <c r="C136" t="s">
        <v>514</v>
      </c>
      <c r="D136" s="1" t="s">
        <v>527</v>
      </c>
      <c r="E136">
        <v>3.2</v>
      </c>
      <c r="F136" s="1" t="s">
        <v>142</v>
      </c>
      <c r="G136" t="s">
        <v>122</v>
      </c>
      <c r="H136" t="s">
        <v>143</v>
      </c>
      <c r="I136" t="s">
        <v>52</v>
      </c>
      <c r="J136">
        <v>2015</v>
      </c>
      <c r="K136" t="s">
        <v>53</v>
      </c>
      <c r="L136" t="s">
        <v>59</v>
      </c>
      <c r="M136" t="s">
        <v>60</v>
      </c>
      <c r="N136" t="s">
        <v>24</v>
      </c>
      <c r="O136">
        <v>-1</v>
      </c>
    </row>
    <row r="137" spans="1:15" ht="409.6" x14ac:dyDescent="0.3">
      <c r="A137">
        <v>135</v>
      </c>
      <c r="B137" t="s">
        <v>221</v>
      </c>
      <c r="C137" t="s">
        <v>514</v>
      </c>
      <c r="D137" s="1" t="s">
        <v>527</v>
      </c>
      <c r="E137">
        <v>3.2</v>
      </c>
      <c r="F137" s="1" t="s">
        <v>142</v>
      </c>
      <c r="G137" t="s">
        <v>122</v>
      </c>
      <c r="H137" t="s">
        <v>143</v>
      </c>
      <c r="I137" t="s">
        <v>52</v>
      </c>
      <c r="J137">
        <v>2015</v>
      </c>
      <c r="K137" t="s">
        <v>53</v>
      </c>
      <c r="L137" t="s">
        <v>59</v>
      </c>
      <c r="M137" t="s">
        <v>60</v>
      </c>
      <c r="N137" t="s">
        <v>24</v>
      </c>
      <c r="O137">
        <v>-1</v>
      </c>
    </row>
    <row r="138" spans="1:15" ht="409.6" x14ac:dyDescent="0.3">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v>-1</v>
      </c>
    </row>
    <row r="139" spans="1:15" ht="409.6" x14ac:dyDescent="0.3">
      <c r="A139">
        <v>137</v>
      </c>
      <c r="B139" t="s">
        <v>26</v>
      </c>
      <c r="C139" t="s">
        <v>514</v>
      </c>
      <c r="D139" s="1" t="s">
        <v>528</v>
      </c>
      <c r="E139">
        <v>4.2</v>
      </c>
      <c r="F139" s="1" t="s">
        <v>529</v>
      </c>
      <c r="G139" t="s">
        <v>438</v>
      </c>
      <c r="H139" t="s">
        <v>438</v>
      </c>
      <c r="I139" t="s">
        <v>107</v>
      </c>
      <c r="J139">
        <v>2012</v>
      </c>
      <c r="K139" t="s">
        <v>53</v>
      </c>
      <c r="L139" t="s">
        <v>520</v>
      </c>
      <c r="M139" t="s">
        <v>170</v>
      </c>
      <c r="N139" t="s">
        <v>24</v>
      </c>
      <c r="O139">
        <v>-1</v>
      </c>
    </row>
    <row r="140" spans="1:15" ht="409.6" x14ac:dyDescent="0.3">
      <c r="A140">
        <v>138</v>
      </c>
      <c r="B140" t="s">
        <v>218</v>
      </c>
      <c r="C140" t="s">
        <v>514</v>
      </c>
      <c r="D140" s="1" t="s">
        <v>530</v>
      </c>
      <c r="E140">
        <v>4.5</v>
      </c>
      <c r="F140" s="1" t="s">
        <v>285</v>
      </c>
      <c r="G140" t="s">
        <v>143</v>
      </c>
      <c r="H140" t="s">
        <v>91</v>
      </c>
      <c r="I140" t="s">
        <v>107</v>
      </c>
      <c r="J140">
        <v>1994</v>
      </c>
      <c r="K140" t="s">
        <v>53</v>
      </c>
      <c r="L140" t="s">
        <v>286</v>
      </c>
      <c r="M140" t="s">
        <v>34</v>
      </c>
      <c r="N140" t="s">
        <v>164</v>
      </c>
      <c r="O140">
        <v>-1</v>
      </c>
    </row>
    <row r="141" spans="1:15" ht="409.6" x14ac:dyDescent="0.3">
      <c r="A141">
        <v>139</v>
      </c>
      <c r="B141" t="s">
        <v>189</v>
      </c>
      <c r="C141" t="s">
        <v>514</v>
      </c>
      <c r="D141" s="1" t="s">
        <v>531</v>
      </c>
      <c r="E141">
        <v>4.8</v>
      </c>
      <c r="F141" s="1" t="s">
        <v>532</v>
      </c>
      <c r="G141" t="s">
        <v>236</v>
      </c>
      <c r="H141" t="s">
        <v>236</v>
      </c>
      <c r="I141" t="s">
        <v>107</v>
      </c>
      <c r="J141">
        <v>2012</v>
      </c>
      <c r="K141" t="s">
        <v>53</v>
      </c>
      <c r="L141" t="s">
        <v>468</v>
      </c>
      <c r="M141" t="s">
        <v>469</v>
      </c>
      <c r="N141" t="s">
        <v>24</v>
      </c>
      <c r="O141">
        <v>-1</v>
      </c>
    </row>
    <row r="142" spans="1:15" ht="409.6" x14ac:dyDescent="0.3">
      <c r="A142">
        <v>140</v>
      </c>
      <c r="B142" t="s">
        <v>533</v>
      </c>
      <c r="C142" t="s">
        <v>514</v>
      </c>
      <c r="D142" s="1" t="s">
        <v>534</v>
      </c>
      <c r="E142">
        <v>3.8</v>
      </c>
      <c r="F142" s="1" t="s">
        <v>535</v>
      </c>
      <c r="G142" t="s">
        <v>536</v>
      </c>
      <c r="H142" t="s">
        <v>536</v>
      </c>
      <c r="I142" t="s">
        <v>46</v>
      </c>
      <c r="J142">
        <v>1997</v>
      </c>
      <c r="K142" t="s">
        <v>21</v>
      </c>
      <c r="L142" t="s">
        <v>201</v>
      </c>
      <c r="M142" t="s">
        <v>100</v>
      </c>
      <c r="N142" t="s">
        <v>24</v>
      </c>
      <c r="O142">
        <v>-1</v>
      </c>
    </row>
    <row r="143" spans="1:15" ht="409.6" x14ac:dyDescent="0.3">
      <c r="A143">
        <v>141</v>
      </c>
      <c r="B143" t="s">
        <v>537</v>
      </c>
      <c r="C143" t="s">
        <v>514</v>
      </c>
      <c r="D143" s="1" t="s">
        <v>538</v>
      </c>
      <c r="E143">
        <v>3.7</v>
      </c>
      <c r="F143" s="1" t="s">
        <v>539</v>
      </c>
      <c r="G143" t="s">
        <v>83</v>
      </c>
      <c r="H143" t="s">
        <v>83</v>
      </c>
      <c r="I143" t="s">
        <v>20</v>
      </c>
      <c r="J143">
        <v>2001</v>
      </c>
      <c r="K143" t="s">
        <v>53</v>
      </c>
      <c r="L143" t="s">
        <v>84</v>
      </c>
      <c r="M143" t="s">
        <v>60</v>
      </c>
      <c r="N143" t="s">
        <v>24</v>
      </c>
      <c r="O143">
        <v>-1</v>
      </c>
    </row>
    <row r="144" spans="1:15" ht="409.6" x14ac:dyDescent="0.3">
      <c r="A144">
        <v>142</v>
      </c>
      <c r="B144" t="s">
        <v>240</v>
      </c>
      <c r="C144" t="s">
        <v>514</v>
      </c>
      <c r="D144" s="1" t="s">
        <v>540</v>
      </c>
      <c r="E144">
        <v>3.3</v>
      </c>
      <c r="F144" s="1" t="s">
        <v>541</v>
      </c>
      <c r="G144" t="s">
        <v>143</v>
      </c>
      <c r="H144" t="s">
        <v>143</v>
      </c>
      <c r="I144" t="s">
        <v>52</v>
      </c>
      <c r="J144">
        <v>2013</v>
      </c>
      <c r="K144" t="s">
        <v>53</v>
      </c>
      <c r="L144" t="s">
        <v>47</v>
      </c>
      <c r="M144" t="s">
        <v>48</v>
      </c>
      <c r="N144" t="s">
        <v>403</v>
      </c>
      <c r="O144">
        <v>-1</v>
      </c>
    </row>
    <row r="145" spans="1:15" ht="409.6" x14ac:dyDescent="0.3">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ht="409.6" x14ac:dyDescent="0.3">
      <c r="A146">
        <v>144</v>
      </c>
      <c r="B146" t="s">
        <v>221</v>
      </c>
      <c r="C146" t="s">
        <v>514</v>
      </c>
      <c r="D146" s="1" t="s">
        <v>546</v>
      </c>
      <c r="E146">
        <v>5</v>
      </c>
      <c r="F146" s="1" t="s">
        <v>547</v>
      </c>
      <c r="G146" t="s">
        <v>30</v>
      </c>
      <c r="H146" t="s">
        <v>548</v>
      </c>
      <c r="I146" t="s">
        <v>117</v>
      </c>
      <c r="J146">
        <v>2013</v>
      </c>
      <c r="K146" t="s">
        <v>53</v>
      </c>
      <c r="L146" t="s">
        <v>175</v>
      </c>
      <c r="M146" t="s">
        <v>175</v>
      </c>
      <c r="N146" t="s">
        <v>160</v>
      </c>
      <c r="O146">
        <v>-1</v>
      </c>
    </row>
    <row r="147" spans="1:15" ht="409.6" x14ac:dyDescent="0.3">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ht="409.6" x14ac:dyDescent="0.3">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ht="409.6" x14ac:dyDescent="0.3">
      <c r="A149">
        <v>147</v>
      </c>
      <c r="B149" t="s">
        <v>557</v>
      </c>
      <c r="C149" t="s">
        <v>514</v>
      </c>
      <c r="D149" s="1" t="s">
        <v>558</v>
      </c>
      <c r="E149">
        <v>2.4</v>
      </c>
      <c r="F149" s="1" t="s">
        <v>559</v>
      </c>
      <c r="G149" t="s">
        <v>77</v>
      </c>
      <c r="H149" t="s">
        <v>77</v>
      </c>
      <c r="I149" t="s">
        <v>46</v>
      </c>
      <c r="J149">
        <v>2006</v>
      </c>
      <c r="K149" t="s">
        <v>53</v>
      </c>
      <c r="L149" t="s">
        <v>67</v>
      </c>
      <c r="M149" t="s">
        <v>67</v>
      </c>
      <c r="N149" t="s">
        <v>194</v>
      </c>
      <c r="O149">
        <v>-1</v>
      </c>
    </row>
    <row r="150" spans="1:15" ht="409.6" x14ac:dyDescent="0.3">
      <c r="A150">
        <v>148</v>
      </c>
      <c r="B150" t="s">
        <v>26</v>
      </c>
      <c r="C150" t="s">
        <v>514</v>
      </c>
      <c r="D150" s="1" t="s">
        <v>560</v>
      </c>
      <c r="E150">
        <v>2.9</v>
      </c>
      <c r="F150" s="1" t="s">
        <v>561</v>
      </c>
      <c r="G150" t="s">
        <v>64</v>
      </c>
      <c r="H150" t="s">
        <v>64</v>
      </c>
      <c r="I150" t="s">
        <v>52</v>
      </c>
      <c r="J150">
        <v>2000</v>
      </c>
      <c r="K150" t="s">
        <v>53</v>
      </c>
      <c r="L150" t="s">
        <v>67</v>
      </c>
      <c r="M150" t="s">
        <v>67</v>
      </c>
      <c r="N150" t="s">
        <v>160</v>
      </c>
      <c r="O150">
        <v>-1</v>
      </c>
    </row>
    <row r="151" spans="1:15" ht="409.6" x14ac:dyDescent="0.3">
      <c r="A151">
        <v>149</v>
      </c>
      <c r="B151" t="s">
        <v>562</v>
      </c>
      <c r="C151" t="s">
        <v>514</v>
      </c>
      <c r="D151" s="1" t="s">
        <v>563</v>
      </c>
      <c r="E151">
        <v>4.4000000000000004</v>
      </c>
      <c r="F151" s="1" t="s">
        <v>564</v>
      </c>
      <c r="G151" t="s">
        <v>565</v>
      </c>
      <c r="H151" t="s">
        <v>566</v>
      </c>
      <c r="I151" t="s">
        <v>107</v>
      </c>
      <c r="J151">
        <v>1967</v>
      </c>
      <c r="K151" t="s">
        <v>53</v>
      </c>
      <c r="L151" t="s">
        <v>54</v>
      </c>
      <c r="M151" t="s">
        <v>34</v>
      </c>
      <c r="N151" t="s">
        <v>24</v>
      </c>
      <c r="O151">
        <v>-1</v>
      </c>
    </row>
    <row r="152" spans="1:15" ht="409.6" x14ac:dyDescent="0.3">
      <c r="A152">
        <v>150</v>
      </c>
      <c r="B152" t="s">
        <v>26</v>
      </c>
      <c r="C152" t="s">
        <v>514</v>
      </c>
      <c r="D152" s="1" t="s">
        <v>567</v>
      </c>
      <c r="E152">
        <v>2.9</v>
      </c>
      <c r="F152" s="1" t="s">
        <v>568</v>
      </c>
      <c r="G152" t="s">
        <v>569</v>
      </c>
      <c r="H152" t="s">
        <v>570</v>
      </c>
      <c r="I152" t="s">
        <v>66</v>
      </c>
      <c r="J152">
        <v>2016</v>
      </c>
      <c r="K152" t="s">
        <v>301</v>
      </c>
      <c r="L152" t="s">
        <v>571</v>
      </c>
      <c r="M152" t="s">
        <v>513</v>
      </c>
      <c r="N152" t="s">
        <v>68</v>
      </c>
      <c r="O152">
        <v>-1</v>
      </c>
    </row>
    <row r="153" spans="1:15" ht="409.6" x14ac:dyDescent="0.3">
      <c r="A153">
        <v>151</v>
      </c>
      <c r="B153" t="s">
        <v>572</v>
      </c>
      <c r="C153" t="s">
        <v>514</v>
      </c>
      <c r="D153" s="1" t="s">
        <v>573</v>
      </c>
      <c r="E153">
        <v>2.7</v>
      </c>
      <c r="F153" s="1" t="s">
        <v>574</v>
      </c>
      <c r="G153" t="s">
        <v>371</v>
      </c>
      <c r="H153" t="s">
        <v>371</v>
      </c>
      <c r="I153" t="s">
        <v>107</v>
      </c>
      <c r="J153">
        <v>1961</v>
      </c>
      <c r="K153" t="s">
        <v>53</v>
      </c>
      <c r="L153" t="s">
        <v>67</v>
      </c>
      <c r="M153" t="s">
        <v>67</v>
      </c>
      <c r="N153" t="s">
        <v>194</v>
      </c>
      <c r="O153">
        <v>-1</v>
      </c>
    </row>
    <row r="154" spans="1:15" ht="409.6" x14ac:dyDescent="0.3">
      <c r="A154">
        <v>152</v>
      </c>
      <c r="B154" t="s">
        <v>189</v>
      </c>
      <c r="C154" t="s">
        <v>514</v>
      </c>
      <c r="D154" s="1" t="s">
        <v>575</v>
      </c>
      <c r="E154">
        <v>4.2</v>
      </c>
      <c r="F154" s="1" t="s">
        <v>576</v>
      </c>
      <c r="G154" t="s">
        <v>577</v>
      </c>
      <c r="H154" t="s">
        <v>577</v>
      </c>
      <c r="I154" t="s">
        <v>20</v>
      </c>
      <c r="J154">
        <v>2002</v>
      </c>
      <c r="K154" t="s">
        <v>53</v>
      </c>
      <c r="L154" t="s">
        <v>59</v>
      </c>
      <c r="M154" t="s">
        <v>60</v>
      </c>
      <c r="N154" t="s">
        <v>24</v>
      </c>
      <c r="O154">
        <v>-1</v>
      </c>
    </row>
    <row r="155" spans="1:15" ht="409.6" x14ac:dyDescent="0.3">
      <c r="A155">
        <v>153</v>
      </c>
      <c r="B155" t="s">
        <v>578</v>
      </c>
      <c r="C155" t="s">
        <v>514</v>
      </c>
      <c r="D155" s="1" t="s">
        <v>579</v>
      </c>
      <c r="E155">
        <v>3.5</v>
      </c>
      <c r="F155" s="1" t="s">
        <v>580</v>
      </c>
      <c r="G155" t="s">
        <v>581</v>
      </c>
      <c r="H155" t="s">
        <v>581</v>
      </c>
      <c r="I155" t="s">
        <v>107</v>
      </c>
      <c r="J155">
        <v>1995</v>
      </c>
      <c r="K155" t="s">
        <v>53</v>
      </c>
      <c r="L155" t="s">
        <v>67</v>
      </c>
      <c r="M155" t="s">
        <v>67</v>
      </c>
      <c r="N155" t="s">
        <v>41</v>
      </c>
      <c r="O155">
        <v>-1</v>
      </c>
    </row>
    <row r="156" spans="1:15" ht="409.6" x14ac:dyDescent="0.3">
      <c r="A156">
        <v>154</v>
      </c>
      <c r="B156" t="s">
        <v>582</v>
      </c>
      <c r="C156" t="s">
        <v>514</v>
      </c>
      <c r="D156" s="1" t="s">
        <v>583</v>
      </c>
      <c r="E156">
        <v>-1</v>
      </c>
      <c r="F156" t="s">
        <v>584</v>
      </c>
      <c r="G156" t="s">
        <v>585</v>
      </c>
      <c r="H156">
        <v>-1</v>
      </c>
      <c r="I156">
        <v>-1</v>
      </c>
      <c r="J156">
        <v>-1</v>
      </c>
      <c r="K156">
        <v>-1</v>
      </c>
      <c r="L156">
        <v>-1</v>
      </c>
      <c r="M156">
        <v>-1</v>
      </c>
      <c r="N156">
        <v>-1</v>
      </c>
      <c r="O156">
        <v>-1</v>
      </c>
    </row>
    <row r="157" spans="1:15" ht="409.6" x14ac:dyDescent="0.3">
      <c r="A157">
        <v>155</v>
      </c>
      <c r="B157" t="s">
        <v>15</v>
      </c>
      <c r="C157" t="s">
        <v>514</v>
      </c>
      <c r="D157" s="1" t="s">
        <v>586</v>
      </c>
      <c r="E157">
        <v>4.2</v>
      </c>
      <c r="F157" s="1" t="s">
        <v>587</v>
      </c>
      <c r="G157" t="s">
        <v>91</v>
      </c>
      <c r="H157" t="s">
        <v>588</v>
      </c>
      <c r="I157" t="s">
        <v>66</v>
      </c>
      <c r="J157">
        <v>1963</v>
      </c>
      <c r="K157" t="s">
        <v>53</v>
      </c>
      <c r="L157" t="s">
        <v>67</v>
      </c>
      <c r="M157" t="s">
        <v>67</v>
      </c>
      <c r="N157" t="s">
        <v>79</v>
      </c>
      <c r="O157">
        <v>-1</v>
      </c>
    </row>
    <row r="158" spans="1:15" ht="409.6" x14ac:dyDescent="0.3">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ht="409.6" x14ac:dyDescent="0.3">
      <c r="A159">
        <v>157</v>
      </c>
      <c r="B159" t="s">
        <v>113</v>
      </c>
      <c r="C159" t="s">
        <v>589</v>
      </c>
      <c r="D159" s="1" t="s">
        <v>114</v>
      </c>
      <c r="E159">
        <v>4.4000000000000004</v>
      </c>
      <c r="F159" s="1" t="s">
        <v>115</v>
      </c>
      <c r="G159" t="s">
        <v>111</v>
      </c>
      <c r="H159" t="s">
        <v>116</v>
      </c>
      <c r="I159" t="s">
        <v>117</v>
      </c>
      <c r="J159">
        <v>1997</v>
      </c>
      <c r="K159" t="s">
        <v>53</v>
      </c>
      <c r="L159" t="s">
        <v>118</v>
      </c>
      <c r="M159" t="s">
        <v>98</v>
      </c>
      <c r="N159" t="s">
        <v>24</v>
      </c>
      <c r="O159">
        <v>-1</v>
      </c>
    </row>
    <row r="160" spans="1:15" ht="409.6" x14ac:dyDescent="0.3">
      <c r="A160">
        <v>158</v>
      </c>
      <c r="B160" t="s">
        <v>221</v>
      </c>
      <c r="C160" t="s">
        <v>589</v>
      </c>
      <c r="D160" s="1" t="s">
        <v>590</v>
      </c>
      <c r="E160">
        <v>-1</v>
      </c>
      <c r="F160" t="s">
        <v>591</v>
      </c>
      <c r="G160" t="s">
        <v>415</v>
      </c>
      <c r="H160">
        <v>-1</v>
      </c>
      <c r="I160">
        <v>-1</v>
      </c>
      <c r="J160">
        <v>-1</v>
      </c>
      <c r="K160">
        <v>-1</v>
      </c>
      <c r="L160">
        <v>-1</v>
      </c>
      <c r="M160">
        <v>-1</v>
      </c>
      <c r="N160">
        <v>-1</v>
      </c>
      <c r="O160">
        <v>-1</v>
      </c>
    </row>
    <row r="161" spans="1:15" ht="409.6" x14ac:dyDescent="0.3">
      <c r="A161">
        <v>159</v>
      </c>
      <c r="B161" t="s">
        <v>26</v>
      </c>
      <c r="C161" t="s">
        <v>589</v>
      </c>
      <c r="D161" s="1" t="s">
        <v>592</v>
      </c>
      <c r="E161">
        <v>3.5</v>
      </c>
      <c r="F161" s="1" t="s">
        <v>593</v>
      </c>
      <c r="G161" t="s">
        <v>594</v>
      </c>
      <c r="H161" t="s">
        <v>415</v>
      </c>
      <c r="I161" t="s">
        <v>66</v>
      </c>
      <c r="J161">
        <v>1969</v>
      </c>
      <c r="K161" t="s">
        <v>32</v>
      </c>
      <c r="L161" t="s">
        <v>175</v>
      </c>
      <c r="M161" t="s">
        <v>175</v>
      </c>
      <c r="N161" t="s">
        <v>68</v>
      </c>
      <c r="O161">
        <v>-1</v>
      </c>
    </row>
    <row r="162" spans="1:15" ht="409.6" x14ac:dyDescent="0.3">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ht="409.6" x14ac:dyDescent="0.3">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v>-1</v>
      </c>
    </row>
    <row r="164" spans="1:15" ht="409.6" x14ac:dyDescent="0.3">
      <c r="A164">
        <v>162</v>
      </c>
      <c r="B164" t="s">
        <v>602</v>
      </c>
      <c r="C164" t="s">
        <v>589</v>
      </c>
      <c r="D164" s="1" t="s">
        <v>603</v>
      </c>
      <c r="E164">
        <v>3.5</v>
      </c>
      <c r="F164" s="1" t="s">
        <v>472</v>
      </c>
      <c r="G164" t="s">
        <v>29</v>
      </c>
      <c r="H164" t="s">
        <v>473</v>
      </c>
      <c r="I164" t="s">
        <v>31</v>
      </c>
      <c r="J164">
        <v>-1</v>
      </c>
      <c r="K164" t="s">
        <v>32</v>
      </c>
      <c r="L164" t="s">
        <v>175</v>
      </c>
      <c r="M164" t="s">
        <v>175</v>
      </c>
      <c r="N164" t="s">
        <v>79</v>
      </c>
      <c r="O164">
        <v>-1</v>
      </c>
    </row>
    <row r="165" spans="1:15" ht="409.6" x14ac:dyDescent="0.3">
      <c r="A165">
        <v>163</v>
      </c>
      <c r="B165" t="s">
        <v>218</v>
      </c>
      <c r="C165" t="s">
        <v>589</v>
      </c>
      <c r="D165" s="1" t="s">
        <v>604</v>
      </c>
      <c r="E165">
        <v>2.7</v>
      </c>
      <c r="F165" s="1" t="s">
        <v>605</v>
      </c>
      <c r="G165" t="s">
        <v>111</v>
      </c>
      <c r="H165" t="s">
        <v>111</v>
      </c>
      <c r="I165" t="s">
        <v>46</v>
      </c>
      <c r="J165">
        <v>1997</v>
      </c>
      <c r="K165" t="s">
        <v>21</v>
      </c>
      <c r="L165" t="s">
        <v>512</v>
      </c>
      <c r="M165" t="s">
        <v>513</v>
      </c>
      <c r="N165" t="s">
        <v>164</v>
      </c>
      <c r="O165">
        <v>-1</v>
      </c>
    </row>
    <row r="166" spans="1:15" ht="409.6" x14ac:dyDescent="0.3">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ht="409.6" x14ac:dyDescent="0.3">
      <c r="A167">
        <v>165</v>
      </c>
      <c r="B167" t="s">
        <v>26</v>
      </c>
      <c r="C167" t="s">
        <v>589</v>
      </c>
      <c r="D167" s="1" t="s">
        <v>612</v>
      </c>
      <c r="E167">
        <v>4.4000000000000004</v>
      </c>
      <c r="F167" s="1" t="s">
        <v>613</v>
      </c>
      <c r="G167" t="s">
        <v>449</v>
      </c>
      <c r="H167" t="s">
        <v>449</v>
      </c>
      <c r="I167" t="s">
        <v>107</v>
      </c>
      <c r="J167">
        <v>2015</v>
      </c>
      <c r="K167" t="s">
        <v>53</v>
      </c>
      <c r="L167" t="s">
        <v>614</v>
      </c>
      <c r="M167" t="s">
        <v>614</v>
      </c>
      <c r="N167" t="s">
        <v>24</v>
      </c>
      <c r="O167">
        <v>-1</v>
      </c>
    </row>
    <row r="168" spans="1:15" ht="409.6" x14ac:dyDescent="0.3">
      <c r="A168">
        <v>166</v>
      </c>
      <c r="B168" t="s">
        <v>615</v>
      </c>
      <c r="C168" t="s">
        <v>589</v>
      </c>
      <c r="D168" s="1" t="s">
        <v>616</v>
      </c>
      <c r="E168">
        <v>4</v>
      </c>
      <c r="F168" s="1" t="s">
        <v>331</v>
      </c>
      <c r="G168" t="s">
        <v>143</v>
      </c>
      <c r="H168" t="s">
        <v>332</v>
      </c>
      <c r="I168" t="s">
        <v>31</v>
      </c>
      <c r="J168">
        <v>1982</v>
      </c>
      <c r="K168" t="s">
        <v>32</v>
      </c>
      <c r="L168" t="s">
        <v>59</v>
      </c>
      <c r="M168" t="s">
        <v>60</v>
      </c>
      <c r="N168" t="s">
        <v>79</v>
      </c>
      <c r="O168">
        <v>-1</v>
      </c>
    </row>
    <row r="169" spans="1:15" ht="409.6" x14ac:dyDescent="0.3">
      <c r="A169">
        <v>167</v>
      </c>
      <c r="B169" t="s">
        <v>615</v>
      </c>
      <c r="C169" t="s">
        <v>589</v>
      </c>
      <c r="D169" s="1" t="s">
        <v>617</v>
      </c>
      <c r="E169">
        <v>4.2</v>
      </c>
      <c r="F169" s="1" t="s">
        <v>331</v>
      </c>
      <c r="G169" t="s">
        <v>143</v>
      </c>
      <c r="H169" t="s">
        <v>30</v>
      </c>
      <c r="I169" t="s">
        <v>31</v>
      </c>
      <c r="J169">
        <v>1968</v>
      </c>
      <c r="K169" t="s">
        <v>32</v>
      </c>
      <c r="L169" t="s">
        <v>33</v>
      </c>
      <c r="M169" t="s">
        <v>34</v>
      </c>
      <c r="N169" t="s">
        <v>35</v>
      </c>
      <c r="O169">
        <v>-1</v>
      </c>
    </row>
    <row r="170" spans="1:15" ht="409.6" x14ac:dyDescent="0.3">
      <c r="A170">
        <v>168</v>
      </c>
      <c r="B170" t="s">
        <v>189</v>
      </c>
      <c r="C170" t="s">
        <v>589</v>
      </c>
      <c r="D170" s="1" t="s">
        <v>618</v>
      </c>
      <c r="E170">
        <v>3.5</v>
      </c>
      <c r="F170" s="1" t="s">
        <v>619</v>
      </c>
      <c r="G170" t="s">
        <v>620</v>
      </c>
      <c r="H170" t="s">
        <v>621</v>
      </c>
      <c r="I170" t="s">
        <v>66</v>
      </c>
      <c r="J170">
        <v>1957</v>
      </c>
      <c r="K170" t="s">
        <v>32</v>
      </c>
      <c r="L170">
        <v>-1</v>
      </c>
      <c r="M170">
        <v>-1</v>
      </c>
      <c r="N170" t="s">
        <v>68</v>
      </c>
      <c r="O170" t="s">
        <v>622</v>
      </c>
    </row>
    <row r="171" spans="1:15" ht="409.6" x14ac:dyDescent="0.3">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ht="409.6" x14ac:dyDescent="0.3">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ht="409.6" x14ac:dyDescent="0.3">
      <c r="A173">
        <v>171</v>
      </c>
      <c r="B173" t="s">
        <v>632</v>
      </c>
      <c r="C173" t="s">
        <v>589</v>
      </c>
      <c r="D173" s="1" t="s">
        <v>633</v>
      </c>
      <c r="E173">
        <v>3.3</v>
      </c>
      <c r="F173" s="1" t="s">
        <v>315</v>
      </c>
      <c r="G173" t="s">
        <v>328</v>
      </c>
      <c r="H173" t="s">
        <v>83</v>
      </c>
      <c r="I173" t="s">
        <v>46</v>
      </c>
      <c r="J173">
        <v>2015</v>
      </c>
      <c r="K173" t="s">
        <v>53</v>
      </c>
      <c r="L173" t="s">
        <v>67</v>
      </c>
      <c r="M173" t="s">
        <v>67</v>
      </c>
      <c r="N173" t="s">
        <v>24</v>
      </c>
      <c r="O173">
        <v>-1</v>
      </c>
    </row>
    <row r="174" spans="1:15" ht="409.6" x14ac:dyDescent="0.3">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ht="409.6" x14ac:dyDescent="0.3">
      <c r="A175">
        <v>173</v>
      </c>
      <c r="B175" t="s">
        <v>637</v>
      </c>
      <c r="C175" t="s">
        <v>589</v>
      </c>
      <c r="D175" s="1" t="s">
        <v>638</v>
      </c>
      <c r="E175">
        <v>3.9</v>
      </c>
      <c r="F175" s="1" t="s">
        <v>639</v>
      </c>
      <c r="G175" t="s">
        <v>19</v>
      </c>
      <c r="H175" t="s">
        <v>19</v>
      </c>
      <c r="I175" t="s">
        <v>107</v>
      </c>
      <c r="J175">
        <v>2014</v>
      </c>
      <c r="K175" t="s">
        <v>53</v>
      </c>
      <c r="L175" t="s">
        <v>84</v>
      </c>
      <c r="M175" t="s">
        <v>60</v>
      </c>
      <c r="N175" t="s">
        <v>24</v>
      </c>
      <c r="O175">
        <v>-1</v>
      </c>
    </row>
    <row r="176" spans="1:15" ht="409.6" x14ac:dyDescent="0.3">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ht="409.6" x14ac:dyDescent="0.3">
      <c r="A177">
        <v>175</v>
      </c>
      <c r="B177" t="s">
        <v>643</v>
      </c>
      <c r="C177" t="s">
        <v>589</v>
      </c>
      <c r="D177" s="1" t="s">
        <v>644</v>
      </c>
      <c r="E177">
        <v>3.3</v>
      </c>
      <c r="F177" s="1" t="s">
        <v>315</v>
      </c>
      <c r="G177" t="s">
        <v>83</v>
      </c>
      <c r="H177" t="s">
        <v>83</v>
      </c>
      <c r="I177" t="s">
        <v>46</v>
      </c>
      <c r="J177">
        <v>2015</v>
      </c>
      <c r="K177" t="s">
        <v>53</v>
      </c>
      <c r="L177" t="s">
        <v>67</v>
      </c>
      <c r="M177" t="s">
        <v>67</v>
      </c>
      <c r="N177" t="s">
        <v>24</v>
      </c>
      <c r="O177">
        <v>-1</v>
      </c>
    </row>
    <row r="178" spans="1:15" ht="409.6" x14ac:dyDescent="0.3">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v>-1</v>
      </c>
    </row>
    <row r="179" spans="1:15" ht="409.6" x14ac:dyDescent="0.3">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ht="409.6" x14ac:dyDescent="0.3">
      <c r="A180">
        <v>178</v>
      </c>
      <c r="B180" t="s">
        <v>26</v>
      </c>
      <c r="C180" t="s">
        <v>650</v>
      </c>
      <c r="D180" s="1" t="s">
        <v>124</v>
      </c>
      <c r="E180">
        <v>3.5</v>
      </c>
      <c r="F180" s="1" t="s">
        <v>125</v>
      </c>
      <c r="G180" t="s">
        <v>126</v>
      </c>
      <c r="H180" t="s">
        <v>126</v>
      </c>
      <c r="I180" t="s">
        <v>20</v>
      </c>
      <c r="J180">
        <v>1945</v>
      </c>
      <c r="K180" t="s">
        <v>53</v>
      </c>
      <c r="L180" t="s">
        <v>108</v>
      </c>
      <c r="M180" t="s">
        <v>48</v>
      </c>
      <c r="N180" t="s">
        <v>101</v>
      </c>
      <c r="O180">
        <v>-1</v>
      </c>
    </row>
    <row r="181" spans="1:15" ht="409.6" x14ac:dyDescent="0.3">
      <c r="A181">
        <v>179</v>
      </c>
      <c r="B181" t="s">
        <v>221</v>
      </c>
      <c r="C181" t="s">
        <v>650</v>
      </c>
      <c r="D181" s="1" t="s">
        <v>651</v>
      </c>
      <c r="E181">
        <v>3.6</v>
      </c>
      <c r="F181" s="1" t="s">
        <v>125</v>
      </c>
      <c r="G181" t="s">
        <v>126</v>
      </c>
      <c r="H181" t="s">
        <v>652</v>
      </c>
      <c r="I181" t="s">
        <v>46</v>
      </c>
      <c r="J181">
        <v>1967</v>
      </c>
      <c r="K181" t="s">
        <v>21</v>
      </c>
      <c r="L181" t="s">
        <v>118</v>
      </c>
      <c r="M181" t="s">
        <v>98</v>
      </c>
      <c r="N181" t="s">
        <v>194</v>
      </c>
      <c r="O181">
        <v>-1</v>
      </c>
    </row>
    <row r="182" spans="1:15" ht="409.6" x14ac:dyDescent="0.3">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ht="409.6" x14ac:dyDescent="0.3">
      <c r="A183">
        <v>181</v>
      </c>
      <c r="B183" t="s">
        <v>655</v>
      </c>
      <c r="C183" t="s">
        <v>650</v>
      </c>
      <c r="D183" s="1" t="s">
        <v>656</v>
      </c>
      <c r="E183">
        <v>4.7</v>
      </c>
      <c r="F183" s="1" t="s">
        <v>657</v>
      </c>
      <c r="G183" t="s">
        <v>658</v>
      </c>
      <c r="H183" t="s">
        <v>658</v>
      </c>
      <c r="I183" t="s">
        <v>107</v>
      </c>
      <c r="J183">
        <v>1997</v>
      </c>
      <c r="K183" t="s">
        <v>53</v>
      </c>
      <c r="L183" t="s">
        <v>54</v>
      </c>
      <c r="M183" t="s">
        <v>34</v>
      </c>
      <c r="N183" t="s">
        <v>164</v>
      </c>
      <c r="O183">
        <v>-1</v>
      </c>
    </row>
    <row r="184" spans="1:15" ht="409.6" x14ac:dyDescent="0.3">
      <c r="A184">
        <v>182</v>
      </c>
      <c r="B184" t="s">
        <v>659</v>
      </c>
      <c r="C184" t="s">
        <v>650</v>
      </c>
      <c r="D184" s="1" t="s">
        <v>660</v>
      </c>
      <c r="E184">
        <v>3.5</v>
      </c>
      <c r="F184" s="1" t="s">
        <v>661</v>
      </c>
      <c r="G184" t="s">
        <v>19</v>
      </c>
      <c r="H184" t="s">
        <v>662</v>
      </c>
      <c r="I184" t="s">
        <v>20</v>
      </c>
      <c r="J184">
        <v>1948</v>
      </c>
      <c r="K184" t="s">
        <v>32</v>
      </c>
      <c r="L184" t="s">
        <v>22</v>
      </c>
      <c r="M184" t="s">
        <v>23</v>
      </c>
      <c r="N184" t="s">
        <v>35</v>
      </c>
      <c r="O184">
        <v>-1</v>
      </c>
    </row>
    <row r="185" spans="1:15" ht="409.6" x14ac:dyDescent="0.3">
      <c r="A185">
        <v>183</v>
      </c>
      <c r="B185" t="s">
        <v>26</v>
      </c>
      <c r="C185" t="s">
        <v>650</v>
      </c>
      <c r="D185" s="1" t="s">
        <v>663</v>
      </c>
      <c r="E185">
        <v>3.3</v>
      </c>
      <c r="F185" s="1" t="s">
        <v>664</v>
      </c>
      <c r="G185" t="s">
        <v>665</v>
      </c>
      <c r="H185" t="s">
        <v>666</v>
      </c>
      <c r="I185" t="s">
        <v>31</v>
      </c>
      <c r="J185">
        <v>1850</v>
      </c>
      <c r="K185" t="s">
        <v>32</v>
      </c>
      <c r="L185" t="s">
        <v>175</v>
      </c>
      <c r="M185" t="s">
        <v>175</v>
      </c>
      <c r="N185" t="s">
        <v>101</v>
      </c>
      <c r="O185">
        <v>-1</v>
      </c>
    </row>
    <row r="186" spans="1:15" ht="409.6" x14ac:dyDescent="0.3">
      <c r="A186">
        <v>184</v>
      </c>
      <c r="B186" t="s">
        <v>615</v>
      </c>
      <c r="C186" t="s">
        <v>650</v>
      </c>
      <c r="D186" s="1" t="s">
        <v>667</v>
      </c>
      <c r="E186">
        <v>3.9</v>
      </c>
      <c r="F186" s="1" t="s">
        <v>668</v>
      </c>
      <c r="G186" t="s">
        <v>143</v>
      </c>
      <c r="H186" t="s">
        <v>143</v>
      </c>
      <c r="I186" t="s">
        <v>52</v>
      </c>
      <c r="J186">
        <v>2008</v>
      </c>
      <c r="K186" t="s">
        <v>32</v>
      </c>
      <c r="L186" t="s">
        <v>123</v>
      </c>
      <c r="M186" t="s">
        <v>60</v>
      </c>
      <c r="N186" t="s">
        <v>24</v>
      </c>
      <c r="O186">
        <v>-1</v>
      </c>
    </row>
    <row r="187" spans="1:15" ht="409.6" x14ac:dyDescent="0.3">
      <c r="A187">
        <v>185</v>
      </c>
      <c r="B187" t="s">
        <v>454</v>
      </c>
      <c r="C187" t="s">
        <v>650</v>
      </c>
      <c r="D187" s="1" t="s">
        <v>669</v>
      </c>
      <c r="E187">
        <v>3.7</v>
      </c>
      <c r="F187" s="1" t="s">
        <v>670</v>
      </c>
      <c r="G187" t="s">
        <v>38</v>
      </c>
      <c r="H187" t="s">
        <v>671</v>
      </c>
      <c r="I187" t="s">
        <v>31</v>
      </c>
      <c r="J187">
        <v>1851</v>
      </c>
      <c r="K187" t="s">
        <v>53</v>
      </c>
      <c r="L187" t="s">
        <v>22</v>
      </c>
      <c r="M187" t="s">
        <v>23</v>
      </c>
      <c r="N187" t="s">
        <v>68</v>
      </c>
      <c r="O187">
        <v>-1</v>
      </c>
    </row>
    <row r="188" spans="1:15" ht="409.6" x14ac:dyDescent="0.3">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ht="409.6" x14ac:dyDescent="0.3">
      <c r="A189">
        <v>187</v>
      </c>
      <c r="B189" t="s">
        <v>677</v>
      </c>
      <c r="C189" t="s">
        <v>650</v>
      </c>
      <c r="D189" s="1" t="s">
        <v>678</v>
      </c>
      <c r="E189">
        <v>4</v>
      </c>
      <c r="F189" s="1" t="s">
        <v>679</v>
      </c>
      <c r="G189" t="s">
        <v>233</v>
      </c>
      <c r="H189" t="s">
        <v>233</v>
      </c>
      <c r="I189" t="s">
        <v>66</v>
      </c>
      <c r="J189">
        <v>1976</v>
      </c>
      <c r="K189" t="s">
        <v>301</v>
      </c>
      <c r="L189" t="s">
        <v>67</v>
      </c>
      <c r="M189" t="s">
        <v>67</v>
      </c>
      <c r="N189" t="s">
        <v>68</v>
      </c>
      <c r="O189">
        <v>-1</v>
      </c>
    </row>
    <row r="190" spans="1:15" ht="409.6" x14ac:dyDescent="0.3">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ht="409.6" x14ac:dyDescent="0.3">
      <c r="A191">
        <v>189</v>
      </c>
      <c r="B191" t="s">
        <v>684</v>
      </c>
      <c r="C191" t="s">
        <v>650</v>
      </c>
      <c r="D191" s="1" t="s">
        <v>685</v>
      </c>
      <c r="E191">
        <v>3.6</v>
      </c>
      <c r="F191" s="1" t="s">
        <v>686</v>
      </c>
      <c r="G191" t="s">
        <v>687</v>
      </c>
      <c r="H191" t="s">
        <v>687</v>
      </c>
      <c r="I191" t="s">
        <v>688</v>
      </c>
      <c r="J191">
        <v>1995</v>
      </c>
      <c r="K191" t="s">
        <v>301</v>
      </c>
      <c r="L191" t="s">
        <v>54</v>
      </c>
      <c r="M191" t="s">
        <v>34</v>
      </c>
      <c r="N191" t="s">
        <v>24</v>
      </c>
      <c r="O191" t="s">
        <v>689</v>
      </c>
    </row>
    <row r="192" spans="1:15" ht="409.6" x14ac:dyDescent="0.3">
      <c r="A192">
        <v>190</v>
      </c>
      <c r="B192" t="s">
        <v>690</v>
      </c>
      <c r="C192" t="s">
        <v>650</v>
      </c>
      <c r="D192" s="1" t="s">
        <v>691</v>
      </c>
      <c r="E192">
        <v>4.7</v>
      </c>
      <c r="F192" s="1" t="s">
        <v>692</v>
      </c>
      <c r="G192" t="s">
        <v>143</v>
      </c>
      <c r="H192" t="s">
        <v>693</v>
      </c>
      <c r="I192" t="s">
        <v>46</v>
      </c>
      <c r="J192">
        <v>1999</v>
      </c>
      <c r="K192" t="s">
        <v>301</v>
      </c>
      <c r="L192" t="s">
        <v>59</v>
      </c>
      <c r="M192" t="s">
        <v>60</v>
      </c>
      <c r="N192" t="s">
        <v>24</v>
      </c>
      <c r="O192">
        <v>-1</v>
      </c>
    </row>
    <row r="193" spans="1:15" ht="409.6" x14ac:dyDescent="0.3">
      <c r="A193">
        <v>191</v>
      </c>
      <c r="B193" t="s">
        <v>189</v>
      </c>
      <c r="C193" t="s">
        <v>650</v>
      </c>
      <c r="D193" s="1" t="s">
        <v>694</v>
      </c>
      <c r="E193">
        <v>4.0999999999999996</v>
      </c>
      <c r="F193" s="1" t="s">
        <v>695</v>
      </c>
      <c r="G193" t="s">
        <v>258</v>
      </c>
      <c r="H193" t="s">
        <v>78</v>
      </c>
      <c r="I193" t="s">
        <v>52</v>
      </c>
      <c r="J193">
        <v>2011</v>
      </c>
      <c r="K193" t="s">
        <v>53</v>
      </c>
      <c r="L193" t="s">
        <v>92</v>
      </c>
      <c r="M193" t="s">
        <v>60</v>
      </c>
      <c r="N193" t="s">
        <v>24</v>
      </c>
      <c r="O193">
        <v>-1</v>
      </c>
    </row>
    <row r="194" spans="1:15" ht="409.6" x14ac:dyDescent="0.3">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ht="409.6" x14ac:dyDescent="0.3">
      <c r="A195">
        <v>193</v>
      </c>
      <c r="B195" t="s">
        <v>26</v>
      </c>
      <c r="C195" t="s">
        <v>650</v>
      </c>
      <c r="D195" s="1" t="s">
        <v>697</v>
      </c>
      <c r="E195">
        <v>5</v>
      </c>
      <c r="F195" s="1" t="s">
        <v>698</v>
      </c>
      <c r="G195" t="s">
        <v>143</v>
      </c>
      <c r="H195" t="s">
        <v>699</v>
      </c>
      <c r="I195" t="s">
        <v>688</v>
      </c>
      <c r="J195">
        <v>-1</v>
      </c>
      <c r="K195" t="s">
        <v>32</v>
      </c>
      <c r="L195">
        <v>-1</v>
      </c>
      <c r="M195">
        <v>-1</v>
      </c>
      <c r="N195" t="s">
        <v>24</v>
      </c>
      <c r="O195">
        <v>-1</v>
      </c>
    </row>
    <row r="196" spans="1:15" ht="409.6" x14ac:dyDescent="0.3">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ht="409.6" x14ac:dyDescent="0.3">
      <c r="A197">
        <v>195</v>
      </c>
      <c r="B197" t="s">
        <v>26</v>
      </c>
      <c r="C197" t="s">
        <v>650</v>
      </c>
      <c r="D197" s="1" t="s">
        <v>702</v>
      </c>
      <c r="E197">
        <v>4.3</v>
      </c>
      <c r="F197" s="1" t="s">
        <v>703</v>
      </c>
      <c r="G197" t="s">
        <v>675</v>
      </c>
      <c r="H197" t="s">
        <v>393</v>
      </c>
      <c r="I197" t="s">
        <v>52</v>
      </c>
      <c r="J197">
        <v>-1</v>
      </c>
      <c r="K197" t="s">
        <v>53</v>
      </c>
      <c r="L197">
        <v>-1</v>
      </c>
      <c r="M197">
        <v>-1</v>
      </c>
      <c r="N197" t="s">
        <v>24</v>
      </c>
      <c r="O197">
        <v>-1</v>
      </c>
    </row>
    <row r="198" spans="1:15" ht="409.6" x14ac:dyDescent="0.3">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ht="409.6" x14ac:dyDescent="0.3">
      <c r="A199">
        <v>197</v>
      </c>
      <c r="B199" t="s">
        <v>709</v>
      </c>
      <c r="C199" t="s">
        <v>650</v>
      </c>
      <c r="D199" s="1" t="s">
        <v>710</v>
      </c>
      <c r="E199">
        <v>3.8</v>
      </c>
      <c r="F199" s="1" t="s">
        <v>711</v>
      </c>
      <c r="G199" t="s">
        <v>712</v>
      </c>
      <c r="H199" t="s">
        <v>64</v>
      </c>
      <c r="I199" t="s">
        <v>107</v>
      </c>
      <c r="J199">
        <v>2013</v>
      </c>
      <c r="K199" t="s">
        <v>32</v>
      </c>
      <c r="L199" t="s">
        <v>67</v>
      </c>
      <c r="M199" t="s">
        <v>67</v>
      </c>
      <c r="N199" t="s">
        <v>41</v>
      </c>
      <c r="O199">
        <v>-1</v>
      </c>
    </row>
    <row r="200" spans="1:15" ht="409.6" x14ac:dyDescent="0.3">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v>-1</v>
      </c>
    </row>
    <row r="201" spans="1:15" ht="409.6" x14ac:dyDescent="0.3">
      <c r="A201">
        <v>199</v>
      </c>
      <c r="B201" t="s">
        <v>119</v>
      </c>
      <c r="C201" t="s">
        <v>717</v>
      </c>
      <c r="D201" s="1" t="s">
        <v>120</v>
      </c>
      <c r="E201">
        <v>4.0999999999999996</v>
      </c>
      <c r="F201" s="1" t="s">
        <v>121</v>
      </c>
      <c r="G201" t="s">
        <v>122</v>
      </c>
      <c r="H201" t="s">
        <v>111</v>
      </c>
      <c r="I201" t="s">
        <v>52</v>
      </c>
      <c r="J201">
        <v>2015</v>
      </c>
      <c r="K201" t="s">
        <v>53</v>
      </c>
      <c r="L201" t="s">
        <v>123</v>
      </c>
      <c r="M201" t="s">
        <v>60</v>
      </c>
      <c r="N201" t="s">
        <v>24</v>
      </c>
      <c r="O201">
        <v>-1</v>
      </c>
    </row>
    <row r="202" spans="1:15" ht="409.6" x14ac:dyDescent="0.3">
      <c r="A202">
        <v>200</v>
      </c>
      <c r="B202" t="s">
        <v>26</v>
      </c>
      <c r="C202" t="s">
        <v>717</v>
      </c>
      <c r="D202" s="1" t="s">
        <v>158</v>
      </c>
      <c r="E202">
        <v>3.4</v>
      </c>
      <c r="F202" s="1" t="s">
        <v>159</v>
      </c>
      <c r="G202" t="s">
        <v>83</v>
      </c>
      <c r="H202" t="s">
        <v>83</v>
      </c>
      <c r="I202" t="s">
        <v>52</v>
      </c>
      <c r="J202">
        <v>1992</v>
      </c>
      <c r="K202" t="s">
        <v>53</v>
      </c>
      <c r="L202" t="s">
        <v>54</v>
      </c>
      <c r="M202" t="s">
        <v>34</v>
      </c>
      <c r="N202" t="s">
        <v>160</v>
      </c>
      <c r="O202">
        <v>-1</v>
      </c>
    </row>
    <row r="203" spans="1:15" ht="409.6" x14ac:dyDescent="0.3">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v>-1</v>
      </c>
    </row>
    <row r="204" spans="1:15" ht="409.6" x14ac:dyDescent="0.3">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ht="409.6" x14ac:dyDescent="0.3">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v>-1</v>
      </c>
    </row>
    <row r="206" spans="1:15" ht="409.6" x14ac:dyDescent="0.3">
      <c r="A206">
        <v>204</v>
      </c>
      <c r="B206" t="s">
        <v>727</v>
      </c>
      <c r="C206" t="s">
        <v>717</v>
      </c>
      <c r="D206" s="1" t="s">
        <v>728</v>
      </c>
      <c r="E206">
        <v>3.9</v>
      </c>
      <c r="F206" s="1" t="s">
        <v>63</v>
      </c>
      <c r="G206" t="s">
        <v>64</v>
      </c>
      <c r="H206" t="s">
        <v>65</v>
      </c>
      <c r="I206" t="s">
        <v>66</v>
      </c>
      <c r="J206">
        <v>1996</v>
      </c>
      <c r="K206" t="s">
        <v>32</v>
      </c>
      <c r="L206" t="s">
        <v>67</v>
      </c>
      <c r="M206" t="s">
        <v>67</v>
      </c>
      <c r="N206" t="s">
        <v>68</v>
      </c>
      <c r="O206">
        <v>-1</v>
      </c>
    </row>
    <row r="207" spans="1:15" ht="409.6" x14ac:dyDescent="0.3">
      <c r="A207">
        <v>205</v>
      </c>
      <c r="B207" t="s">
        <v>189</v>
      </c>
      <c r="C207" t="s">
        <v>717</v>
      </c>
      <c r="D207" s="1" t="s">
        <v>729</v>
      </c>
      <c r="E207">
        <v>3.6</v>
      </c>
      <c r="F207" s="1" t="s">
        <v>730</v>
      </c>
      <c r="G207" t="s">
        <v>731</v>
      </c>
      <c r="H207" t="s">
        <v>87</v>
      </c>
      <c r="I207" t="s">
        <v>20</v>
      </c>
      <c r="J207">
        <v>2001</v>
      </c>
      <c r="K207" t="s">
        <v>53</v>
      </c>
      <c r="L207" t="s">
        <v>33</v>
      </c>
      <c r="M207" t="s">
        <v>34</v>
      </c>
      <c r="N207" t="s">
        <v>35</v>
      </c>
      <c r="O207">
        <v>-1</v>
      </c>
    </row>
    <row r="208" spans="1:15" ht="409.6" x14ac:dyDescent="0.3">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ht="409.6" x14ac:dyDescent="0.3">
      <c r="A209">
        <v>207</v>
      </c>
      <c r="B209" t="s">
        <v>734</v>
      </c>
      <c r="C209" t="s">
        <v>717</v>
      </c>
      <c r="D209" s="1" t="s">
        <v>735</v>
      </c>
      <c r="E209">
        <v>3.7</v>
      </c>
      <c r="F209" s="1" t="s">
        <v>736</v>
      </c>
      <c r="G209" t="s">
        <v>737</v>
      </c>
      <c r="H209" t="s">
        <v>737</v>
      </c>
      <c r="I209" t="s">
        <v>20</v>
      </c>
      <c r="J209">
        <v>1999</v>
      </c>
      <c r="K209" t="s">
        <v>32</v>
      </c>
      <c r="L209" t="s">
        <v>738</v>
      </c>
      <c r="M209" t="s">
        <v>48</v>
      </c>
      <c r="N209" t="s">
        <v>41</v>
      </c>
      <c r="O209">
        <v>-1</v>
      </c>
    </row>
    <row r="210" spans="1:15" ht="409.6" x14ac:dyDescent="0.3">
      <c r="A210">
        <v>208</v>
      </c>
      <c r="B210" t="s">
        <v>739</v>
      </c>
      <c r="C210" t="s">
        <v>717</v>
      </c>
      <c r="D210" s="1" t="s">
        <v>740</v>
      </c>
      <c r="E210">
        <v>2.9</v>
      </c>
      <c r="F210" s="1" t="s">
        <v>741</v>
      </c>
      <c r="G210" t="s">
        <v>742</v>
      </c>
      <c r="H210" t="s">
        <v>743</v>
      </c>
      <c r="I210" t="s">
        <v>107</v>
      </c>
      <c r="J210">
        <v>1996</v>
      </c>
      <c r="K210" t="s">
        <v>32</v>
      </c>
      <c r="L210" t="s">
        <v>744</v>
      </c>
      <c r="M210" t="s">
        <v>100</v>
      </c>
      <c r="N210" t="s">
        <v>194</v>
      </c>
      <c r="O210">
        <v>-1</v>
      </c>
    </row>
    <row r="211" spans="1:15" ht="409.6" x14ac:dyDescent="0.3">
      <c r="A211">
        <v>209</v>
      </c>
      <c r="B211" t="s">
        <v>745</v>
      </c>
      <c r="C211" t="s">
        <v>717</v>
      </c>
      <c r="D211" s="1" t="s">
        <v>746</v>
      </c>
      <c r="E211">
        <v>5</v>
      </c>
      <c r="F211" s="1" t="s">
        <v>747</v>
      </c>
      <c r="G211" t="s">
        <v>485</v>
      </c>
      <c r="H211" t="s">
        <v>748</v>
      </c>
      <c r="I211" t="s">
        <v>117</v>
      </c>
      <c r="J211">
        <v>2011</v>
      </c>
      <c r="K211" t="s">
        <v>53</v>
      </c>
      <c r="L211" t="s">
        <v>92</v>
      </c>
      <c r="M211" t="s">
        <v>60</v>
      </c>
      <c r="N211" t="s">
        <v>212</v>
      </c>
      <c r="O211">
        <v>-1</v>
      </c>
    </row>
    <row r="212" spans="1:15" ht="28.8" x14ac:dyDescent="0.3">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ht="409.6" x14ac:dyDescent="0.3">
      <c r="A213">
        <v>211</v>
      </c>
      <c r="B213" t="s">
        <v>240</v>
      </c>
      <c r="C213" t="s">
        <v>717</v>
      </c>
      <c r="D213" s="1" t="s">
        <v>752</v>
      </c>
      <c r="E213">
        <v>3.5</v>
      </c>
      <c r="F213" s="1" t="s">
        <v>472</v>
      </c>
      <c r="G213" t="s">
        <v>30</v>
      </c>
      <c r="H213" t="s">
        <v>473</v>
      </c>
      <c r="I213" t="s">
        <v>31</v>
      </c>
      <c r="J213">
        <v>-1</v>
      </c>
      <c r="K213" t="s">
        <v>32</v>
      </c>
      <c r="L213" t="s">
        <v>175</v>
      </c>
      <c r="M213" t="s">
        <v>175</v>
      </c>
      <c r="N213" t="s">
        <v>79</v>
      </c>
      <c r="O213">
        <v>-1</v>
      </c>
    </row>
    <row r="214" spans="1:15" ht="409.6" x14ac:dyDescent="0.3">
      <c r="A214">
        <v>212</v>
      </c>
      <c r="B214" t="s">
        <v>753</v>
      </c>
      <c r="C214" t="s">
        <v>717</v>
      </c>
      <c r="D214" s="1" t="s">
        <v>754</v>
      </c>
      <c r="E214">
        <v>5</v>
      </c>
      <c r="F214" s="1" t="s">
        <v>747</v>
      </c>
      <c r="G214" t="s">
        <v>755</v>
      </c>
      <c r="H214" t="s">
        <v>748</v>
      </c>
      <c r="I214" t="s">
        <v>117</v>
      </c>
      <c r="J214">
        <v>2011</v>
      </c>
      <c r="K214" t="s">
        <v>53</v>
      </c>
      <c r="L214" t="s">
        <v>92</v>
      </c>
      <c r="M214" t="s">
        <v>60</v>
      </c>
      <c r="N214" t="s">
        <v>212</v>
      </c>
      <c r="O214">
        <v>-1</v>
      </c>
    </row>
    <row r="215" spans="1:15" ht="409.6" x14ac:dyDescent="0.3">
      <c r="A215">
        <v>213</v>
      </c>
      <c r="B215" t="s">
        <v>756</v>
      </c>
      <c r="C215" t="s">
        <v>717</v>
      </c>
      <c r="D215" s="1" t="s">
        <v>394</v>
      </c>
      <c r="E215">
        <v>4.8</v>
      </c>
      <c r="F215" s="1" t="s">
        <v>242</v>
      </c>
      <c r="G215" t="s">
        <v>38</v>
      </c>
      <c r="H215" t="s">
        <v>38</v>
      </c>
      <c r="I215" t="s">
        <v>107</v>
      </c>
      <c r="J215">
        <v>2012</v>
      </c>
      <c r="K215" t="s">
        <v>53</v>
      </c>
      <c r="L215" t="s">
        <v>59</v>
      </c>
      <c r="M215" t="s">
        <v>60</v>
      </c>
      <c r="N215" t="s">
        <v>24</v>
      </c>
      <c r="O215">
        <v>-1</v>
      </c>
    </row>
    <row r="216" spans="1:15" ht="409.6" x14ac:dyDescent="0.3">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ht="409.6" x14ac:dyDescent="0.3">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ht="409.6" x14ac:dyDescent="0.3">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ht="409.6" x14ac:dyDescent="0.3">
      <c r="A219">
        <v>217</v>
      </c>
      <c r="B219" t="s">
        <v>769</v>
      </c>
      <c r="C219" t="s">
        <v>717</v>
      </c>
      <c r="D219" s="1" t="s">
        <v>770</v>
      </c>
      <c r="E219">
        <v>3.5</v>
      </c>
      <c r="F219" s="1" t="s">
        <v>771</v>
      </c>
      <c r="G219" t="s">
        <v>772</v>
      </c>
      <c r="H219" t="s">
        <v>772</v>
      </c>
      <c r="I219" t="s">
        <v>46</v>
      </c>
      <c r="J219">
        <v>1996</v>
      </c>
      <c r="K219" t="s">
        <v>21</v>
      </c>
      <c r="L219" t="s">
        <v>139</v>
      </c>
      <c r="M219" t="s">
        <v>140</v>
      </c>
      <c r="N219" t="s">
        <v>101</v>
      </c>
      <c r="O219">
        <v>-1</v>
      </c>
    </row>
    <row r="220" spans="1:15" ht="409.6" x14ac:dyDescent="0.3">
      <c r="A220">
        <v>218</v>
      </c>
      <c r="B220" t="s">
        <v>773</v>
      </c>
      <c r="C220" t="s">
        <v>717</v>
      </c>
      <c r="D220" s="1" t="s">
        <v>774</v>
      </c>
      <c r="E220">
        <v>3.7</v>
      </c>
      <c r="F220" s="1" t="s">
        <v>670</v>
      </c>
      <c r="G220" t="s">
        <v>38</v>
      </c>
      <c r="H220" t="s">
        <v>671</v>
      </c>
      <c r="I220" t="s">
        <v>31</v>
      </c>
      <c r="J220">
        <v>1851</v>
      </c>
      <c r="K220" t="s">
        <v>53</v>
      </c>
      <c r="L220" t="s">
        <v>22</v>
      </c>
      <c r="M220" t="s">
        <v>23</v>
      </c>
      <c r="N220" t="s">
        <v>68</v>
      </c>
      <c r="O220">
        <v>-1</v>
      </c>
    </row>
    <row r="221" spans="1:15" ht="409.6" x14ac:dyDescent="0.3">
      <c r="A221">
        <v>219</v>
      </c>
      <c r="B221" t="s">
        <v>775</v>
      </c>
      <c r="C221" t="s">
        <v>717</v>
      </c>
      <c r="D221" s="1" t="s">
        <v>776</v>
      </c>
      <c r="E221">
        <v>3.3</v>
      </c>
      <c r="F221" s="1" t="s">
        <v>315</v>
      </c>
      <c r="G221" t="s">
        <v>328</v>
      </c>
      <c r="H221" t="s">
        <v>83</v>
      </c>
      <c r="I221" t="s">
        <v>46</v>
      </c>
      <c r="J221">
        <v>2015</v>
      </c>
      <c r="K221" t="s">
        <v>53</v>
      </c>
      <c r="L221" t="s">
        <v>67</v>
      </c>
      <c r="M221" t="s">
        <v>67</v>
      </c>
      <c r="N221" t="s">
        <v>24</v>
      </c>
      <c r="O221">
        <v>-1</v>
      </c>
    </row>
    <row r="222" spans="1:15" ht="409.6" x14ac:dyDescent="0.3">
      <c r="A222">
        <v>220</v>
      </c>
      <c r="B222" t="s">
        <v>777</v>
      </c>
      <c r="C222" t="s">
        <v>717</v>
      </c>
      <c r="D222" s="1" t="s">
        <v>778</v>
      </c>
      <c r="E222">
        <v>3.1</v>
      </c>
      <c r="F222" s="1" t="s">
        <v>779</v>
      </c>
      <c r="G222" t="s">
        <v>780</v>
      </c>
      <c r="H222" t="s">
        <v>780</v>
      </c>
      <c r="I222" t="s">
        <v>20</v>
      </c>
      <c r="J222">
        <v>1955</v>
      </c>
      <c r="K222" t="s">
        <v>53</v>
      </c>
      <c r="L222" t="s">
        <v>520</v>
      </c>
      <c r="M222" t="s">
        <v>170</v>
      </c>
      <c r="N222" t="s">
        <v>24</v>
      </c>
      <c r="O222">
        <v>-1</v>
      </c>
    </row>
    <row r="223" spans="1:15" ht="409.6" x14ac:dyDescent="0.3">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ht="409.6" x14ac:dyDescent="0.3">
      <c r="A224">
        <v>222</v>
      </c>
      <c r="B224" t="s">
        <v>165</v>
      </c>
      <c r="C224" t="s">
        <v>781</v>
      </c>
      <c r="D224" s="1" t="s">
        <v>166</v>
      </c>
      <c r="E224">
        <v>4.2</v>
      </c>
      <c r="F224" s="1" t="s">
        <v>167</v>
      </c>
      <c r="G224" t="s">
        <v>168</v>
      </c>
      <c r="H224" t="s">
        <v>168</v>
      </c>
      <c r="I224" t="s">
        <v>52</v>
      </c>
      <c r="J224">
        <v>1996</v>
      </c>
      <c r="K224" t="s">
        <v>53</v>
      </c>
      <c r="L224" t="s">
        <v>169</v>
      </c>
      <c r="M224" t="s">
        <v>170</v>
      </c>
      <c r="N224" t="s">
        <v>41</v>
      </c>
      <c r="O224">
        <v>-1</v>
      </c>
    </row>
    <row r="225" spans="1:15" ht="409.6" x14ac:dyDescent="0.3">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v>-1</v>
      </c>
    </row>
    <row r="226" spans="1:15" ht="43.2" x14ac:dyDescent="0.3">
      <c r="A226">
        <v>224</v>
      </c>
      <c r="B226" t="s">
        <v>782</v>
      </c>
      <c r="C226" t="s">
        <v>781</v>
      </c>
      <c r="D226" t="s">
        <v>783</v>
      </c>
      <c r="E226">
        <v>3.6</v>
      </c>
      <c r="F226" s="1" t="s">
        <v>784</v>
      </c>
      <c r="G226" t="s">
        <v>143</v>
      </c>
      <c r="H226" t="s">
        <v>143</v>
      </c>
      <c r="I226" t="s">
        <v>46</v>
      </c>
      <c r="J226">
        <v>2014</v>
      </c>
      <c r="K226" t="s">
        <v>53</v>
      </c>
      <c r="L226" t="s">
        <v>614</v>
      </c>
      <c r="M226" t="s">
        <v>614</v>
      </c>
      <c r="N226" t="s">
        <v>79</v>
      </c>
      <c r="O226">
        <v>-1</v>
      </c>
    </row>
    <row r="227" spans="1:15" ht="72" x14ac:dyDescent="0.3">
      <c r="A227">
        <v>225</v>
      </c>
      <c r="B227" t="s">
        <v>26</v>
      </c>
      <c r="C227" t="s">
        <v>781</v>
      </c>
      <c r="D227" t="s">
        <v>785</v>
      </c>
      <c r="E227">
        <v>4.5</v>
      </c>
      <c r="F227" s="1" t="s">
        <v>786</v>
      </c>
      <c r="G227" t="s">
        <v>357</v>
      </c>
      <c r="H227" t="s">
        <v>555</v>
      </c>
      <c r="I227" t="s">
        <v>52</v>
      </c>
      <c r="J227">
        <v>2008</v>
      </c>
      <c r="K227" t="s">
        <v>53</v>
      </c>
      <c r="L227" t="s">
        <v>92</v>
      </c>
      <c r="M227" t="s">
        <v>60</v>
      </c>
      <c r="N227" t="s">
        <v>403</v>
      </c>
      <c r="O227">
        <v>-1</v>
      </c>
    </row>
    <row r="228" spans="1:15" ht="43.2" x14ac:dyDescent="0.3">
      <c r="A228">
        <v>226</v>
      </c>
      <c r="B228" t="s">
        <v>26</v>
      </c>
      <c r="C228" t="s">
        <v>781</v>
      </c>
      <c r="D228" t="s">
        <v>787</v>
      </c>
      <c r="E228">
        <v>3</v>
      </c>
      <c r="F228" s="1" t="s">
        <v>788</v>
      </c>
      <c r="G228" t="s">
        <v>83</v>
      </c>
      <c r="H228" t="s">
        <v>789</v>
      </c>
      <c r="I228" t="s">
        <v>20</v>
      </c>
      <c r="J228">
        <v>1999</v>
      </c>
      <c r="K228" t="s">
        <v>53</v>
      </c>
      <c r="L228" t="s">
        <v>92</v>
      </c>
      <c r="M228" t="s">
        <v>60</v>
      </c>
      <c r="N228" t="s">
        <v>41</v>
      </c>
      <c r="O228">
        <v>-1</v>
      </c>
    </row>
    <row r="229" spans="1:15" ht="409.6" x14ac:dyDescent="0.3">
      <c r="A229">
        <v>227</v>
      </c>
      <c r="B229" t="s">
        <v>26</v>
      </c>
      <c r="C229" t="s">
        <v>781</v>
      </c>
      <c r="D229" s="1" t="s">
        <v>790</v>
      </c>
      <c r="E229">
        <v>5</v>
      </c>
      <c r="F229" s="1" t="s">
        <v>791</v>
      </c>
      <c r="G229" t="s">
        <v>192</v>
      </c>
      <c r="H229" t="s">
        <v>792</v>
      </c>
      <c r="I229" t="s">
        <v>52</v>
      </c>
      <c r="J229">
        <v>2018</v>
      </c>
      <c r="K229" t="s">
        <v>53</v>
      </c>
      <c r="L229" t="s">
        <v>793</v>
      </c>
      <c r="M229" t="s">
        <v>48</v>
      </c>
      <c r="N229" t="s">
        <v>24</v>
      </c>
      <c r="O229">
        <v>-1</v>
      </c>
    </row>
    <row r="230" spans="1:15" ht="409.6" x14ac:dyDescent="0.3">
      <c r="A230">
        <v>228</v>
      </c>
      <c r="B230" t="s">
        <v>221</v>
      </c>
      <c r="C230" t="s">
        <v>781</v>
      </c>
      <c r="D230" s="1" t="s">
        <v>651</v>
      </c>
      <c r="E230">
        <v>3.6</v>
      </c>
      <c r="F230" s="1" t="s">
        <v>794</v>
      </c>
      <c r="G230" t="s">
        <v>497</v>
      </c>
      <c r="H230" t="s">
        <v>652</v>
      </c>
      <c r="I230" t="s">
        <v>46</v>
      </c>
      <c r="J230">
        <v>1967</v>
      </c>
      <c r="K230" t="s">
        <v>21</v>
      </c>
      <c r="L230" t="s">
        <v>118</v>
      </c>
      <c r="M230" t="s">
        <v>98</v>
      </c>
      <c r="N230" t="s">
        <v>194</v>
      </c>
      <c r="O230">
        <v>-1</v>
      </c>
    </row>
    <row r="231" spans="1:15" ht="409.6" x14ac:dyDescent="0.3">
      <c r="A231">
        <v>229</v>
      </c>
      <c r="B231" t="s">
        <v>795</v>
      </c>
      <c r="C231" t="s">
        <v>781</v>
      </c>
      <c r="D231" s="1" t="s">
        <v>796</v>
      </c>
      <c r="E231">
        <v>3.6</v>
      </c>
      <c r="F231" s="1" t="s">
        <v>797</v>
      </c>
      <c r="G231" t="s">
        <v>755</v>
      </c>
      <c r="H231" t="s">
        <v>755</v>
      </c>
      <c r="I231" t="s">
        <v>31</v>
      </c>
      <c r="J231">
        <v>1937</v>
      </c>
      <c r="K231" t="s">
        <v>32</v>
      </c>
      <c r="L231" t="s">
        <v>169</v>
      </c>
      <c r="M231" t="s">
        <v>170</v>
      </c>
      <c r="N231" t="s">
        <v>79</v>
      </c>
      <c r="O231">
        <v>-1</v>
      </c>
    </row>
    <row r="232" spans="1:15" x14ac:dyDescent="0.3">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ht="409.6" x14ac:dyDescent="0.3">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ht="409.6" x14ac:dyDescent="0.3">
      <c r="A234">
        <v>232</v>
      </c>
      <c r="B234" t="s">
        <v>26</v>
      </c>
      <c r="C234" t="s">
        <v>781</v>
      </c>
      <c r="D234" s="1" t="s">
        <v>663</v>
      </c>
      <c r="E234">
        <v>3.3</v>
      </c>
      <c r="F234" s="1" t="s">
        <v>664</v>
      </c>
      <c r="G234" t="s">
        <v>665</v>
      </c>
      <c r="H234" t="s">
        <v>666</v>
      </c>
      <c r="I234" t="s">
        <v>31</v>
      </c>
      <c r="J234">
        <v>1850</v>
      </c>
      <c r="K234" t="s">
        <v>32</v>
      </c>
      <c r="L234" t="s">
        <v>175</v>
      </c>
      <c r="M234" t="s">
        <v>175</v>
      </c>
      <c r="N234" t="s">
        <v>101</v>
      </c>
      <c r="O234">
        <v>-1</v>
      </c>
    </row>
    <row r="235" spans="1:15" ht="409.6" x14ac:dyDescent="0.3">
      <c r="A235">
        <v>233</v>
      </c>
      <c r="B235" t="s">
        <v>802</v>
      </c>
      <c r="C235" t="s">
        <v>781</v>
      </c>
      <c r="D235" s="1" t="s">
        <v>803</v>
      </c>
      <c r="E235">
        <v>3.8</v>
      </c>
      <c r="F235" s="1" t="s">
        <v>804</v>
      </c>
      <c r="G235" t="s">
        <v>805</v>
      </c>
      <c r="H235" t="s">
        <v>805</v>
      </c>
      <c r="I235" t="s">
        <v>20</v>
      </c>
      <c r="J235">
        <v>2017</v>
      </c>
      <c r="K235" t="s">
        <v>32</v>
      </c>
      <c r="L235" t="s">
        <v>22</v>
      </c>
      <c r="M235" t="s">
        <v>23</v>
      </c>
      <c r="N235" t="s">
        <v>24</v>
      </c>
      <c r="O235">
        <v>-1</v>
      </c>
    </row>
    <row r="236" spans="1:15" ht="409.6" x14ac:dyDescent="0.3">
      <c r="A236">
        <v>234</v>
      </c>
      <c r="B236" t="s">
        <v>659</v>
      </c>
      <c r="C236" t="s">
        <v>781</v>
      </c>
      <c r="D236" s="1" t="s">
        <v>660</v>
      </c>
      <c r="E236">
        <v>3.5</v>
      </c>
      <c r="F236" s="1" t="s">
        <v>661</v>
      </c>
      <c r="G236" t="s">
        <v>19</v>
      </c>
      <c r="H236" t="s">
        <v>662</v>
      </c>
      <c r="I236" t="s">
        <v>20</v>
      </c>
      <c r="J236">
        <v>1948</v>
      </c>
      <c r="K236" t="s">
        <v>32</v>
      </c>
      <c r="L236" t="s">
        <v>22</v>
      </c>
      <c r="M236" t="s">
        <v>23</v>
      </c>
      <c r="N236" t="s">
        <v>35</v>
      </c>
      <c r="O236">
        <v>-1</v>
      </c>
    </row>
    <row r="237" spans="1:15" ht="409.6" x14ac:dyDescent="0.3">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ht="43.2" x14ac:dyDescent="0.3">
      <c r="A238">
        <v>236</v>
      </c>
      <c r="B238" t="s">
        <v>26</v>
      </c>
      <c r="C238" t="s">
        <v>781</v>
      </c>
      <c r="D238" t="s">
        <v>812</v>
      </c>
      <c r="E238">
        <v>4.5999999999999996</v>
      </c>
      <c r="F238" s="1" t="s">
        <v>813</v>
      </c>
      <c r="G238" t="s">
        <v>143</v>
      </c>
      <c r="H238" t="s">
        <v>814</v>
      </c>
      <c r="I238" t="s">
        <v>117</v>
      </c>
      <c r="J238">
        <v>-1</v>
      </c>
      <c r="K238" t="s">
        <v>53</v>
      </c>
      <c r="L238" t="s">
        <v>59</v>
      </c>
      <c r="M238" t="s">
        <v>60</v>
      </c>
      <c r="N238" t="s">
        <v>431</v>
      </c>
      <c r="O238">
        <v>-1</v>
      </c>
    </row>
    <row r="239" spans="1:15" ht="409.6" x14ac:dyDescent="0.3">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ht="409.6" x14ac:dyDescent="0.3">
      <c r="A240">
        <v>238</v>
      </c>
      <c r="B240" t="s">
        <v>615</v>
      </c>
      <c r="C240" t="s">
        <v>781</v>
      </c>
      <c r="D240" s="1" t="s">
        <v>667</v>
      </c>
      <c r="E240">
        <v>3.9</v>
      </c>
      <c r="F240" s="1" t="s">
        <v>668</v>
      </c>
      <c r="G240" t="s">
        <v>143</v>
      </c>
      <c r="H240" t="s">
        <v>143</v>
      </c>
      <c r="I240" t="s">
        <v>52</v>
      </c>
      <c r="J240">
        <v>2008</v>
      </c>
      <c r="K240" t="s">
        <v>32</v>
      </c>
      <c r="L240" t="s">
        <v>123</v>
      </c>
      <c r="M240" t="s">
        <v>60</v>
      </c>
      <c r="N240" t="s">
        <v>24</v>
      </c>
      <c r="O240">
        <v>-1</v>
      </c>
    </row>
    <row r="241" spans="1:15" ht="273.60000000000002" x14ac:dyDescent="0.3">
      <c r="A241">
        <v>239</v>
      </c>
      <c r="B241" t="s">
        <v>26</v>
      </c>
      <c r="C241" t="s">
        <v>781</v>
      </c>
      <c r="D241" s="1" t="s">
        <v>819</v>
      </c>
      <c r="E241">
        <v>3.9</v>
      </c>
      <c r="F241" s="1" t="s">
        <v>820</v>
      </c>
      <c r="G241" t="s">
        <v>130</v>
      </c>
      <c r="H241" t="s">
        <v>821</v>
      </c>
      <c r="I241" t="s">
        <v>117</v>
      </c>
      <c r="J241">
        <v>-1</v>
      </c>
      <c r="K241" t="s">
        <v>53</v>
      </c>
      <c r="L241" t="s">
        <v>40</v>
      </c>
      <c r="M241" t="s">
        <v>34</v>
      </c>
      <c r="N241" t="s">
        <v>24</v>
      </c>
      <c r="O241">
        <v>-1</v>
      </c>
    </row>
    <row r="242" spans="1:15" ht="409.6" x14ac:dyDescent="0.3">
      <c r="A242">
        <v>240</v>
      </c>
      <c r="B242" t="s">
        <v>26</v>
      </c>
      <c r="C242" t="s">
        <v>822</v>
      </c>
      <c r="D242" s="1" t="s">
        <v>161</v>
      </c>
      <c r="E242">
        <v>4.7</v>
      </c>
      <c r="F242" s="1" t="s">
        <v>162</v>
      </c>
      <c r="G242" t="s">
        <v>163</v>
      </c>
      <c r="H242" t="s">
        <v>163</v>
      </c>
      <c r="I242" t="s">
        <v>52</v>
      </c>
      <c r="J242">
        <v>2003</v>
      </c>
      <c r="K242" t="s">
        <v>53</v>
      </c>
      <c r="L242" t="s">
        <v>59</v>
      </c>
      <c r="M242" t="s">
        <v>60</v>
      </c>
      <c r="N242" t="s">
        <v>164</v>
      </c>
      <c r="O242">
        <v>-1</v>
      </c>
    </row>
    <row r="243" spans="1:15" ht="409.6" x14ac:dyDescent="0.3">
      <c r="A243">
        <v>241</v>
      </c>
      <c r="B243" t="s">
        <v>185</v>
      </c>
      <c r="C243" t="s">
        <v>822</v>
      </c>
      <c r="D243" s="1" t="s">
        <v>186</v>
      </c>
      <c r="E243">
        <v>4.8</v>
      </c>
      <c r="F243" s="1" t="s">
        <v>187</v>
      </c>
      <c r="G243" t="s">
        <v>188</v>
      </c>
      <c r="H243" t="s">
        <v>188</v>
      </c>
      <c r="I243" t="s">
        <v>20</v>
      </c>
      <c r="J243">
        <v>1925</v>
      </c>
      <c r="K243" t="s">
        <v>53</v>
      </c>
      <c r="L243" t="s">
        <v>22</v>
      </c>
      <c r="M243" t="s">
        <v>23</v>
      </c>
      <c r="N243" t="s">
        <v>35</v>
      </c>
      <c r="O243">
        <v>-1</v>
      </c>
    </row>
    <row r="244" spans="1:15" ht="409.6" x14ac:dyDescent="0.3">
      <c r="A244">
        <v>242</v>
      </c>
      <c r="B244" t="s">
        <v>823</v>
      </c>
      <c r="C244" t="s">
        <v>822</v>
      </c>
      <c r="D244" s="1" t="s">
        <v>824</v>
      </c>
      <c r="E244">
        <v>3.1</v>
      </c>
      <c r="F244" s="1" t="s">
        <v>825</v>
      </c>
      <c r="G244" t="s">
        <v>19</v>
      </c>
      <c r="H244" t="s">
        <v>19</v>
      </c>
      <c r="I244" t="s">
        <v>107</v>
      </c>
      <c r="J244">
        <v>2000</v>
      </c>
      <c r="K244" t="s">
        <v>53</v>
      </c>
      <c r="L244" t="s">
        <v>59</v>
      </c>
      <c r="M244" t="s">
        <v>60</v>
      </c>
      <c r="N244" t="s">
        <v>194</v>
      </c>
      <c r="O244">
        <v>-1</v>
      </c>
    </row>
    <row r="245" spans="1:15" ht="28.8" x14ac:dyDescent="0.3">
      <c r="A245">
        <v>243</v>
      </c>
      <c r="B245" t="s">
        <v>26</v>
      </c>
      <c r="C245" t="s">
        <v>822</v>
      </c>
      <c r="D245" t="s">
        <v>826</v>
      </c>
      <c r="E245">
        <v>3.6</v>
      </c>
      <c r="F245" s="1" t="s">
        <v>827</v>
      </c>
      <c r="G245" t="s">
        <v>236</v>
      </c>
      <c r="H245" t="s">
        <v>78</v>
      </c>
      <c r="I245" t="s">
        <v>107</v>
      </c>
      <c r="J245">
        <v>2006</v>
      </c>
      <c r="K245" t="s">
        <v>53</v>
      </c>
      <c r="L245" t="s">
        <v>84</v>
      </c>
      <c r="M245" t="s">
        <v>60</v>
      </c>
      <c r="N245" t="s">
        <v>160</v>
      </c>
      <c r="O245">
        <v>-1</v>
      </c>
    </row>
    <row r="246" spans="1:15" ht="409.6" x14ac:dyDescent="0.3">
      <c r="A246">
        <v>244</v>
      </c>
      <c r="B246" t="s">
        <v>828</v>
      </c>
      <c r="C246" t="s">
        <v>822</v>
      </c>
      <c r="D246" s="1" t="s">
        <v>829</v>
      </c>
      <c r="E246">
        <v>5</v>
      </c>
      <c r="F246" s="1" t="s">
        <v>830</v>
      </c>
      <c r="G246" t="s">
        <v>831</v>
      </c>
      <c r="H246" t="s">
        <v>831</v>
      </c>
      <c r="I246" t="s">
        <v>117</v>
      </c>
      <c r="J246">
        <v>2009</v>
      </c>
      <c r="K246" t="s">
        <v>53</v>
      </c>
      <c r="L246" t="s">
        <v>67</v>
      </c>
      <c r="M246" t="s">
        <v>67</v>
      </c>
      <c r="N246" t="s">
        <v>24</v>
      </c>
      <c r="O246">
        <v>-1</v>
      </c>
    </row>
    <row r="247" spans="1:15" ht="409.6" x14ac:dyDescent="0.3">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ht="43.2" x14ac:dyDescent="0.3">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ht="409.6" x14ac:dyDescent="0.3">
      <c r="A249">
        <v>247</v>
      </c>
      <c r="B249" t="s">
        <v>26</v>
      </c>
      <c r="C249" t="s">
        <v>822</v>
      </c>
      <c r="D249" s="1" t="s">
        <v>842</v>
      </c>
      <c r="E249">
        <v>3.9</v>
      </c>
      <c r="F249" s="1" t="s">
        <v>843</v>
      </c>
      <c r="G249" t="s">
        <v>844</v>
      </c>
      <c r="H249" t="s">
        <v>845</v>
      </c>
      <c r="I249" t="s">
        <v>52</v>
      </c>
      <c r="J249">
        <v>2000</v>
      </c>
      <c r="K249" t="s">
        <v>53</v>
      </c>
      <c r="L249" t="s">
        <v>22</v>
      </c>
      <c r="M249" t="s">
        <v>23</v>
      </c>
      <c r="N249" t="s">
        <v>160</v>
      </c>
      <c r="O249">
        <v>-1</v>
      </c>
    </row>
    <row r="250" spans="1:15" ht="409.6" x14ac:dyDescent="0.3">
      <c r="A250">
        <v>248</v>
      </c>
      <c r="B250" t="s">
        <v>26</v>
      </c>
      <c r="C250" t="s">
        <v>822</v>
      </c>
      <c r="D250" s="1" t="s">
        <v>846</v>
      </c>
      <c r="E250">
        <v>4.3</v>
      </c>
      <c r="F250" s="1" t="s">
        <v>847</v>
      </c>
      <c r="G250" t="s">
        <v>143</v>
      </c>
      <c r="H250" t="s">
        <v>848</v>
      </c>
      <c r="I250" t="s">
        <v>117</v>
      </c>
      <c r="J250">
        <v>-1</v>
      </c>
      <c r="K250" t="s">
        <v>53</v>
      </c>
      <c r="L250">
        <v>-1</v>
      </c>
      <c r="M250">
        <v>-1</v>
      </c>
      <c r="N250" t="s">
        <v>431</v>
      </c>
      <c r="O250">
        <v>-1</v>
      </c>
    </row>
    <row r="251" spans="1:15" ht="409.6" x14ac:dyDescent="0.3">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ht="409.6" x14ac:dyDescent="0.3">
      <c r="A252">
        <v>250</v>
      </c>
      <c r="B252" t="s">
        <v>454</v>
      </c>
      <c r="C252" t="s">
        <v>822</v>
      </c>
      <c r="D252" s="1" t="s">
        <v>669</v>
      </c>
      <c r="E252">
        <v>3.7</v>
      </c>
      <c r="F252" s="1" t="s">
        <v>670</v>
      </c>
      <c r="G252" t="s">
        <v>38</v>
      </c>
      <c r="H252" t="s">
        <v>671</v>
      </c>
      <c r="I252" t="s">
        <v>31</v>
      </c>
      <c r="J252">
        <v>1851</v>
      </c>
      <c r="K252" t="s">
        <v>53</v>
      </c>
      <c r="L252" t="s">
        <v>22</v>
      </c>
      <c r="M252" t="s">
        <v>23</v>
      </c>
      <c r="N252" t="s">
        <v>68</v>
      </c>
      <c r="O252">
        <v>-1</v>
      </c>
    </row>
    <row r="253" spans="1:15" ht="409.6" x14ac:dyDescent="0.3">
      <c r="A253">
        <v>251</v>
      </c>
      <c r="B253" t="s">
        <v>26</v>
      </c>
      <c r="C253" t="s">
        <v>822</v>
      </c>
      <c r="D253" s="1" t="s">
        <v>855</v>
      </c>
      <c r="E253">
        <v>4</v>
      </c>
      <c r="F253" s="1" t="s">
        <v>856</v>
      </c>
      <c r="G253" t="s">
        <v>620</v>
      </c>
      <c r="H253" t="s">
        <v>620</v>
      </c>
      <c r="I253" t="s">
        <v>117</v>
      </c>
      <c r="J253">
        <v>-1</v>
      </c>
      <c r="K253" t="s">
        <v>53</v>
      </c>
      <c r="L253">
        <v>-1</v>
      </c>
      <c r="M253">
        <v>-1</v>
      </c>
      <c r="N253" t="s">
        <v>24</v>
      </c>
      <c r="O253">
        <v>-1</v>
      </c>
    </row>
    <row r="254" spans="1:15" ht="409.6" x14ac:dyDescent="0.3">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ht="409.6" x14ac:dyDescent="0.3">
      <c r="A255">
        <v>253</v>
      </c>
      <c r="B255" t="s">
        <v>26</v>
      </c>
      <c r="C255" t="s">
        <v>822</v>
      </c>
      <c r="D255" s="1" t="s">
        <v>861</v>
      </c>
      <c r="E255">
        <v>4.0999999999999996</v>
      </c>
      <c r="F255" s="1" t="s">
        <v>862</v>
      </c>
      <c r="G255" t="s">
        <v>19</v>
      </c>
      <c r="H255" t="s">
        <v>111</v>
      </c>
      <c r="I255" t="s">
        <v>20</v>
      </c>
      <c r="J255">
        <v>1935</v>
      </c>
      <c r="K255" t="s">
        <v>53</v>
      </c>
      <c r="L255" t="s">
        <v>40</v>
      </c>
      <c r="M255" t="s">
        <v>34</v>
      </c>
      <c r="N255" t="s">
        <v>24</v>
      </c>
      <c r="O255" t="s">
        <v>863</v>
      </c>
    </row>
    <row r="256" spans="1:15" ht="409.6" x14ac:dyDescent="0.3">
      <c r="A256">
        <v>254</v>
      </c>
      <c r="B256" t="s">
        <v>26</v>
      </c>
      <c r="C256" t="s">
        <v>822</v>
      </c>
      <c r="D256" s="1" t="s">
        <v>864</v>
      </c>
      <c r="E256">
        <v>3.3</v>
      </c>
      <c r="F256" s="1" t="s">
        <v>865</v>
      </c>
      <c r="G256" t="s">
        <v>19</v>
      </c>
      <c r="H256" t="s">
        <v>19</v>
      </c>
      <c r="I256" t="s">
        <v>107</v>
      </c>
      <c r="J256">
        <v>2007</v>
      </c>
      <c r="K256" t="s">
        <v>53</v>
      </c>
      <c r="L256" t="s">
        <v>866</v>
      </c>
      <c r="M256" t="s">
        <v>469</v>
      </c>
      <c r="N256" t="s">
        <v>194</v>
      </c>
      <c r="O256">
        <v>-1</v>
      </c>
    </row>
    <row r="257" spans="1:15" ht="57.6" x14ac:dyDescent="0.3">
      <c r="A257">
        <v>255</v>
      </c>
      <c r="B257" t="s">
        <v>26</v>
      </c>
      <c r="C257" t="s">
        <v>822</v>
      </c>
      <c r="D257" t="s">
        <v>867</v>
      </c>
      <c r="E257">
        <v>3.9</v>
      </c>
      <c r="F257" s="1" t="s">
        <v>868</v>
      </c>
      <c r="G257" t="s">
        <v>143</v>
      </c>
      <c r="H257" t="s">
        <v>869</v>
      </c>
      <c r="I257" t="s">
        <v>107</v>
      </c>
      <c r="J257">
        <v>2009</v>
      </c>
      <c r="K257" t="s">
        <v>53</v>
      </c>
      <c r="L257" t="s">
        <v>92</v>
      </c>
      <c r="M257" t="s">
        <v>60</v>
      </c>
      <c r="N257" t="s">
        <v>24</v>
      </c>
      <c r="O257">
        <v>-1</v>
      </c>
    </row>
    <row r="258" spans="1:15" ht="409.6" x14ac:dyDescent="0.3">
      <c r="A258">
        <v>256</v>
      </c>
      <c r="B258" t="s">
        <v>870</v>
      </c>
      <c r="C258" t="s">
        <v>822</v>
      </c>
      <c r="D258" s="1" t="s">
        <v>871</v>
      </c>
      <c r="E258">
        <v>3.1</v>
      </c>
      <c r="F258" s="1" t="s">
        <v>872</v>
      </c>
      <c r="G258" t="s">
        <v>873</v>
      </c>
      <c r="H258" t="s">
        <v>874</v>
      </c>
      <c r="I258" t="s">
        <v>66</v>
      </c>
      <c r="J258">
        <v>1929</v>
      </c>
      <c r="K258" t="s">
        <v>21</v>
      </c>
      <c r="L258" t="s">
        <v>33</v>
      </c>
      <c r="M258" t="s">
        <v>34</v>
      </c>
      <c r="N258" t="s">
        <v>132</v>
      </c>
      <c r="O258">
        <v>-1</v>
      </c>
    </row>
    <row r="259" spans="1:15" ht="409.6" x14ac:dyDescent="0.3">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ht="409.6" x14ac:dyDescent="0.3">
      <c r="A260">
        <v>258</v>
      </c>
      <c r="B260" t="s">
        <v>26</v>
      </c>
      <c r="C260" t="s">
        <v>822</v>
      </c>
      <c r="D260" s="1" t="s">
        <v>875</v>
      </c>
      <c r="E260">
        <v>5</v>
      </c>
      <c r="F260" s="1" t="s">
        <v>876</v>
      </c>
      <c r="G260" t="s">
        <v>19</v>
      </c>
      <c r="H260">
        <v>-1</v>
      </c>
      <c r="I260" t="s">
        <v>688</v>
      </c>
      <c r="J260">
        <v>-1</v>
      </c>
      <c r="K260" t="s">
        <v>688</v>
      </c>
      <c r="L260">
        <v>-1</v>
      </c>
      <c r="M260">
        <v>-1</v>
      </c>
      <c r="N260" t="s">
        <v>24</v>
      </c>
      <c r="O260">
        <v>-1</v>
      </c>
    </row>
    <row r="261" spans="1:15" ht="409.6" x14ac:dyDescent="0.3">
      <c r="A261">
        <v>259</v>
      </c>
      <c r="B261" t="s">
        <v>877</v>
      </c>
      <c r="C261" t="s">
        <v>822</v>
      </c>
      <c r="D261" s="1" t="s">
        <v>878</v>
      </c>
      <c r="E261">
        <v>2.9</v>
      </c>
      <c r="F261" s="1" t="s">
        <v>51</v>
      </c>
      <c r="G261" t="s">
        <v>693</v>
      </c>
      <c r="H261" t="s">
        <v>19</v>
      </c>
      <c r="I261" t="s">
        <v>52</v>
      </c>
      <c r="J261">
        <v>1998</v>
      </c>
      <c r="K261" t="s">
        <v>53</v>
      </c>
      <c r="L261" t="s">
        <v>54</v>
      </c>
      <c r="M261" t="s">
        <v>34</v>
      </c>
      <c r="N261" t="s">
        <v>24</v>
      </c>
      <c r="O261" t="s">
        <v>55</v>
      </c>
    </row>
    <row r="262" spans="1:15" ht="409.6" x14ac:dyDescent="0.3">
      <c r="A262">
        <v>260</v>
      </c>
      <c r="B262" t="s">
        <v>690</v>
      </c>
      <c r="C262" t="s">
        <v>822</v>
      </c>
      <c r="D262" s="1" t="s">
        <v>691</v>
      </c>
      <c r="E262">
        <v>4.7</v>
      </c>
      <c r="F262" s="1" t="s">
        <v>692</v>
      </c>
      <c r="G262" t="s">
        <v>143</v>
      </c>
      <c r="H262" t="s">
        <v>693</v>
      </c>
      <c r="I262" t="s">
        <v>46</v>
      </c>
      <c r="J262">
        <v>1999</v>
      </c>
      <c r="K262" t="s">
        <v>301</v>
      </c>
      <c r="L262" t="s">
        <v>59</v>
      </c>
      <c r="M262" t="s">
        <v>60</v>
      </c>
      <c r="N262" t="s">
        <v>24</v>
      </c>
      <c r="O262">
        <v>-1</v>
      </c>
    </row>
    <row r="263" spans="1:15" ht="409.6" x14ac:dyDescent="0.3">
      <c r="A263">
        <v>261</v>
      </c>
      <c r="B263" t="s">
        <v>684</v>
      </c>
      <c r="C263" t="s">
        <v>822</v>
      </c>
      <c r="D263" s="1" t="s">
        <v>685</v>
      </c>
      <c r="E263">
        <v>3.6</v>
      </c>
      <c r="F263" s="1" t="s">
        <v>686</v>
      </c>
      <c r="G263" t="s">
        <v>687</v>
      </c>
      <c r="H263" t="s">
        <v>687</v>
      </c>
      <c r="I263" t="s">
        <v>688</v>
      </c>
      <c r="J263">
        <v>1995</v>
      </c>
      <c r="K263" t="s">
        <v>301</v>
      </c>
      <c r="L263" t="s">
        <v>54</v>
      </c>
      <c r="M263" t="s">
        <v>34</v>
      </c>
      <c r="N263" t="s">
        <v>24</v>
      </c>
      <c r="O263" t="s">
        <v>689</v>
      </c>
    </row>
    <row r="264" spans="1:15" ht="409.6" x14ac:dyDescent="0.3">
      <c r="A264">
        <v>262</v>
      </c>
      <c r="B264" t="s">
        <v>171</v>
      </c>
      <c r="C264" t="s">
        <v>879</v>
      </c>
      <c r="D264" s="1" t="s">
        <v>172</v>
      </c>
      <c r="E264">
        <v>3.8</v>
      </c>
      <c r="F264" s="1" t="s">
        <v>173</v>
      </c>
      <c r="G264" t="s">
        <v>174</v>
      </c>
      <c r="H264" t="s">
        <v>174</v>
      </c>
      <c r="I264" t="s">
        <v>20</v>
      </c>
      <c r="J264">
        <v>1951</v>
      </c>
      <c r="K264" t="s">
        <v>21</v>
      </c>
      <c r="L264" t="s">
        <v>175</v>
      </c>
      <c r="M264" t="s">
        <v>175</v>
      </c>
      <c r="N264" t="s">
        <v>24</v>
      </c>
      <c r="O264">
        <v>-1</v>
      </c>
    </row>
    <row r="265" spans="1:15" ht="409.6" x14ac:dyDescent="0.3">
      <c r="A265">
        <v>263</v>
      </c>
      <c r="B265" t="s">
        <v>196</v>
      </c>
      <c r="C265" t="s">
        <v>879</v>
      </c>
      <c r="D265" s="1" t="s">
        <v>197</v>
      </c>
      <c r="E265">
        <v>3.3</v>
      </c>
      <c r="F265" s="1" t="s">
        <v>198</v>
      </c>
      <c r="G265" t="s">
        <v>199</v>
      </c>
      <c r="H265" t="s">
        <v>200</v>
      </c>
      <c r="I265" t="s">
        <v>20</v>
      </c>
      <c r="J265">
        <v>1999</v>
      </c>
      <c r="K265" t="s">
        <v>53</v>
      </c>
      <c r="L265" t="s">
        <v>201</v>
      </c>
      <c r="M265" t="s">
        <v>100</v>
      </c>
      <c r="N265" t="s">
        <v>79</v>
      </c>
      <c r="O265">
        <v>-1</v>
      </c>
    </row>
    <row r="266" spans="1:15" ht="409.6" x14ac:dyDescent="0.3">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ht="409.6" x14ac:dyDescent="0.3">
      <c r="A267">
        <v>265</v>
      </c>
      <c r="B267" t="s">
        <v>883</v>
      </c>
      <c r="C267" t="s">
        <v>879</v>
      </c>
      <c r="D267" s="1" t="s">
        <v>884</v>
      </c>
      <c r="E267">
        <v>3.8</v>
      </c>
      <c r="F267" s="1" t="s">
        <v>37</v>
      </c>
      <c r="G267" t="s">
        <v>38</v>
      </c>
      <c r="H267" t="s">
        <v>38</v>
      </c>
      <c r="I267" t="s">
        <v>20</v>
      </c>
      <c r="J267">
        <v>1981</v>
      </c>
      <c r="K267" t="s">
        <v>39</v>
      </c>
      <c r="L267" t="s">
        <v>40</v>
      </c>
      <c r="M267" t="s">
        <v>34</v>
      </c>
      <c r="N267" t="s">
        <v>41</v>
      </c>
      <c r="O267">
        <v>-1</v>
      </c>
    </row>
    <row r="268" spans="1:15" ht="409.6" x14ac:dyDescent="0.3">
      <c r="A268">
        <v>266</v>
      </c>
      <c r="B268" t="s">
        <v>26</v>
      </c>
      <c r="C268" t="s">
        <v>879</v>
      </c>
      <c r="D268" s="1" t="s">
        <v>885</v>
      </c>
      <c r="E268">
        <v>3.2</v>
      </c>
      <c r="F268" s="1" t="s">
        <v>886</v>
      </c>
      <c r="G268" t="s">
        <v>371</v>
      </c>
      <c r="H268" t="s">
        <v>371</v>
      </c>
      <c r="I268" t="s">
        <v>20</v>
      </c>
      <c r="J268">
        <v>1820</v>
      </c>
      <c r="K268" t="s">
        <v>21</v>
      </c>
      <c r="L268" t="s">
        <v>67</v>
      </c>
      <c r="M268" t="s">
        <v>67</v>
      </c>
      <c r="N268" t="s">
        <v>41</v>
      </c>
      <c r="O268">
        <v>-1</v>
      </c>
    </row>
    <row r="269" spans="1:15" ht="409.6" x14ac:dyDescent="0.3">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v>-1</v>
      </c>
    </row>
    <row r="270" spans="1:15" ht="409.6" x14ac:dyDescent="0.3">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ht="409.6" x14ac:dyDescent="0.3">
      <c r="A271">
        <v>269</v>
      </c>
      <c r="B271" t="s">
        <v>893</v>
      </c>
      <c r="C271" t="s">
        <v>879</v>
      </c>
      <c r="D271" s="1" t="s">
        <v>894</v>
      </c>
      <c r="E271">
        <v>5</v>
      </c>
      <c r="F271" s="1" t="s">
        <v>895</v>
      </c>
      <c r="G271" t="s">
        <v>19</v>
      </c>
      <c r="H271" t="s">
        <v>19</v>
      </c>
      <c r="I271" t="s">
        <v>117</v>
      </c>
      <c r="J271">
        <v>2018</v>
      </c>
      <c r="K271" t="s">
        <v>53</v>
      </c>
      <c r="L271" t="s">
        <v>84</v>
      </c>
      <c r="M271" t="s">
        <v>60</v>
      </c>
      <c r="N271" t="s">
        <v>24</v>
      </c>
      <c r="O271">
        <v>-1</v>
      </c>
    </row>
    <row r="272" spans="1:15" ht="409.6" x14ac:dyDescent="0.3">
      <c r="A272">
        <v>270</v>
      </c>
      <c r="B272" t="s">
        <v>189</v>
      </c>
      <c r="C272" t="s">
        <v>879</v>
      </c>
      <c r="D272" s="1" t="s">
        <v>694</v>
      </c>
      <c r="E272">
        <v>4.0999999999999996</v>
      </c>
      <c r="F272" s="1" t="s">
        <v>695</v>
      </c>
      <c r="G272" t="s">
        <v>258</v>
      </c>
      <c r="H272" t="s">
        <v>78</v>
      </c>
      <c r="I272" t="s">
        <v>52</v>
      </c>
      <c r="J272">
        <v>2011</v>
      </c>
      <c r="K272" t="s">
        <v>53</v>
      </c>
      <c r="L272" t="s">
        <v>92</v>
      </c>
      <c r="M272" t="s">
        <v>60</v>
      </c>
      <c r="N272" t="s">
        <v>24</v>
      </c>
      <c r="O272">
        <v>-1</v>
      </c>
    </row>
    <row r="273" spans="1:15" ht="409.6" x14ac:dyDescent="0.3">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ht="28.8" x14ac:dyDescent="0.3">
      <c r="A274">
        <v>272</v>
      </c>
      <c r="B274" t="s">
        <v>26</v>
      </c>
      <c r="C274" t="s">
        <v>879</v>
      </c>
      <c r="D274" t="s">
        <v>901</v>
      </c>
      <c r="E274">
        <v>3.5</v>
      </c>
      <c r="F274" s="1" t="s">
        <v>902</v>
      </c>
      <c r="G274" t="s">
        <v>19</v>
      </c>
      <c r="H274" t="s">
        <v>903</v>
      </c>
      <c r="I274" t="s">
        <v>66</v>
      </c>
      <c r="J274">
        <v>1963</v>
      </c>
      <c r="K274" t="s">
        <v>32</v>
      </c>
      <c r="L274">
        <v>-1</v>
      </c>
      <c r="M274">
        <v>-1</v>
      </c>
      <c r="N274" t="s">
        <v>68</v>
      </c>
      <c r="O274" t="s">
        <v>904</v>
      </c>
    </row>
    <row r="275" spans="1:15" ht="409.6" x14ac:dyDescent="0.3">
      <c r="A275">
        <v>273</v>
      </c>
      <c r="B275" t="s">
        <v>26</v>
      </c>
      <c r="C275" t="s">
        <v>879</v>
      </c>
      <c r="D275" s="1" t="s">
        <v>905</v>
      </c>
      <c r="E275">
        <v>3.2</v>
      </c>
      <c r="F275" s="1" t="s">
        <v>906</v>
      </c>
      <c r="G275" t="s">
        <v>263</v>
      </c>
      <c r="H275" t="s">
        <v>610</v>
      </c>
      <c r="I275" t="s">
        <v>52</v>
      </c>
      <c r="J275">
        <v>2011</v>
      </c>
      <c r="K275" t="s">
        <v>53</v>
      </c>
      <c r="L275" t="s">
        <v>92</v>
      </c>
      <c r="M275" t="s">
        <v>60</v>
      </c>
      <c r="N275" t="s">
        <v>160</v>
      </c>
      <c r="O275">
        <v>-1</v>
      </c>
    </row>
    <row r="276" spans="1:15" ht="409.6" x14ac:dyDescent="0.3">
      <c r="A276">
        <v>274</v>
      </c>
      <c r="B276" t="s">
        <v>26</v>
      </c>
      <c r="C276" t="s">
        <v>879</v>
      </c>
      <c r="D276" s="1" t="s">
        <v>697</v>
      </c>
      <c r="E276">
        <v>5</v>
      </c>
      <c r="F276" s="1" t="s">
        <v>698</v>
      </c>
      <c r="G276" t="s">
        <v>143</v>
      </c>
      <c r="H276" t="s">
        <v>699</v>
      </c>
      <c r="I276" t="s">
        <v>688</v>
      </c>
      <c r="J276">
        <v>-1</v>
      </c>
      <c r="K276" t="s">
        <v>32</v>
      </c>
      <c r="L276">
        <v>-1</v>
      </c>
      <c r="M276">
        <v>-1</v>
      </c>
      <c r="N276" t="s">
        <v>24</v>
      </c>
      <c r="O276">
        <v>-1</v>
      </c>
    </row>
    <row r="277" spans="1:15" ht="409.6" x14ac:dyDescent="0.3">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ht="409.6" x14ac:dyDescent="0.3">
      <c r="A278">
        <v>276</v>
      </c>
      <c r="B278" t="s">
        <v>911</v>
      </c>
      <c r="C278" t="s">
        <v>879</v>
      </c>
      <c r="D278" s="1" t="s">
        <v>912</v>
      </c>
      <c r="E278">
        <v>3.8</v>
      </c>
      <c r="F278" s="1" t="s">
        <v>913</v>
      </c>
      <c r="G278" t="s">
        <v>914</v>
      </c>
      <c r="H278" t="s">
        <v>914</v>
      </c>
      <c r="I278" t="s">
        <v>107</v>
      </c>
      <c r="J278">
        <v>1932</v>
      </c>
      <c r="K278" t="s">
        <v>53</v>
      </c>
      <c r="L278" t="s">
        <v>411</v>
      </c>
      <c r="M278" t="s">
        <v>170</v>
      </c>
      <c r="N278" t="s">
        <v>35</v>
      </c>
      <c r="O278">
        <v>-1</v>
      </c>
    </row>
    <row r="279" spans="1:15" ht="28.8" x14ac:dyDescent="0.3">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ht="409.6" x14ac:dyDescent="0.3">
      <c r="A280">
        <v>278</v>
      </c>
      <c r="B280" t="s">
        <v>26</v>
      </c>
      <c r="C280" t="s">
        <v>879</v>
      </c>
      <c r="D280" s="1" t="s">
        <v>920</v>
      </c>
      <c r="E280">
        <v>4.8</v>
      </c>
      <c r="F280" s="1" t="s">
        <v>242</v>
      </c>
      <c r="G280" t="s">
        <v>38</v>
      </c>
      <c r="H280" t="s">
        <v>38</v>
      </c>
      <c r="I280" t="s">
        <v>107</v>
      </c>
      <c r="J280">
        <v>2012</v>
      </c>
      <c r="K280" t="s">
        <v>53</v>
      </c>
      <c r="L280" t="s">
        <v>59</v>
      </c>
      <c r="M280" t="s">
        <v>60</v>
      </c>
      <c r="N280" t="s">
        <v>24</v>
      </c>
      <c r="O280">
        <v>-1</v>
      </c>
    </row>
    <row r="281" spans="1:15" ht="409.6" x14ac:dyDescent="0.3">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ht="409.6" x14ac:dyDescent="0.3">
      <c r="A282">
        <v>280</v>
      </c>
      <c r="B282" t="s">
        <v>26</v>
      </c>
      <c r="C282" t="s">
        <v>879</v>
      </c>
      <c r="D282" s="1" t="s">
        <v>924</v>
      </c>
      <c r="E282">
        <v>3.7</v>
      </c>
      <c r="F282" s="1" t="s">
        <v>925</v>
      </c>
      <c r="G282" t="s">
        <v>926</v>
      </c>
      <c r="H282" t="s">
        <v>927</v>
      </c>
      <c r="I282" t="s">
        <v>20</v>
      </c>
      <c r="J282">
        <v>2005</v>
      </c>
      <c r="K282" t="s">
        <v>32</v>
      </c>
      <c r="L282" t="s">
        <v>614</v>
      </c>
      <c r="M282" t="s">
        <v>614</v>
      </c>
      <c r="N282" t="s">
        <v>41</v>
      </c>
      <c r="O282">
        <v>-1</v>
      </c>
    </row>
    <row r="283" spans="1:15" ht="409.6" x14ac:dyDescent="0.3">
      <c r="A283">
        <v>281</v>
      </c>
      <c r="B283" t="s">
        <v>26</v>
      </c>
      <c r="C283" t="s">
        <v>879</v>
      </c>
      <c r="D283" s="1" t="s">
        <v>928</v>
      </c>
      <c r="E283">
        <v>5</v>
      </c>
      <c r="F283" s="1" t="s">
        <v>929</v>
      </c>
      <c r="G283" t="s">
        <v>926</v>
      </c>
      <c r="H283" t="s">
        <v>926</v>
      </c>
      <c r="I283" t="s">
        <v>52</v>
      </c>
      <c r="J283">
        <v>2018</v>
      </c>
      <c r="K283" t="s">
        <v>53</v>
      </c>
      <c r="L283" t="s">
        <v>286</v>
      </c>
      <c r="M283" t="s">
        <v>34</v>
      </c>
      <c r="N283" t="s">
        <v>164</v>
      </c>
      <c r="O283">
        <v>-1</v>
      </c>
    </row>
    <row r="284" spans="1:15" ht="409.6" x14ac:dyDescent="0.3">
      <c r="A284">
        <v>282</v>
      </c>
      <c r="B284" t="s">
        <v>26</v>
      </c>
      <c r="C284" t="s">
        <v>879</v>
      </c>
      <c r="D284" s="1" t="s">
        <v>930</v>
      </c>
      <c r="E284">
        <v>-1</v>
      </c>
      <c r="F284" t="s">
        <v>931</v>
      </c>
      <c r="G284" t="s">
        <v>143</v>
      </c>
      <c r="H284" t="s">
        <v>932</v>
      </c>
      <c r="I284" t="s">
        <v>688</v>
      </c>
      <c r="J284">
        <v>-1</v>
      </c>
      <c r="K284" t="s">
        <v>53</v>
      </c>
      <c r="L284">
        <v>-1</v>
      </c>
      <c r="M284">
        <v>-1</v>
      </c>
      <c r="N284" t="s">
        <v>24</v>
      </c>
      <c r="O284">
        <v>-1</v>
      </c>
    </row>
    <row r="285" spans="1:15" ht="409.6" x14ac:dyDescent="0.3">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ht="409.6" x14ac:dyDescent="0.3">
      <c r="A286">
        <v>284</v>
      </c>
      <c r="B286" t="s">
        <v>26</v>
      </c>
      <c r="C286" t="s">
        <v>933</v>
      </c>
      <c r="D286" s="1" t="s">
        <v>183</v>
      </c>
      <c r="E286">
        <v>5</v>
      </c>
      <c r="F286" s="1" t="s">
        <v>184</v>
      </c>
      <c r="G286" t="s">
        <v>38</v>
      </c>
      <c r="H286" t="s">
        <v>38</v>
      </c>
      <c r="I286" t="s">
        <v>117</v>
      </c>
      <c r="J286">
        <v>2019</v>
      </c>
      <c r="K286" t="s">
        <v>53</v>
      </c>
      <c r="L286" t="s">
        <v>92</v>
      </c>
      <c r="M286" t="s">
        <v>60</v>
      </c>
      <c r="N286" t="s">
        <v>24</v>
      </c>
      <c r="O286">
        <v>-1</v>
      </c>
    </row>
    <row r="287" spans="1:15" ht="409.6" x14ac:dyDescent="0.3">
      <c r="A287">
        <v>285</v>
      </c>
      <c r="B287" t="s">
        <v>26</v>
      </c>
      <c r="C287" t="s">
        <v>933</v>
      </c>
      <c r="D287" s="1" t="s">
        <v>930</v>
      </c>
      <c r="E287">
        <v>-1</v>
      </c>
      <c r="F287" t="s">
        <v>931</v>
      </c>
      <c r="G287" t="s">
        <v>143</v>
      </c>
      <c r="H287" t="s">
        <v>932</v>
      </c>
      <c r="I287" t="s">
        <v>688</v>
      </c>
      <c r="J287">
        <v>-1</v>
      </c>
      <c r="K287" t="s">
        <v>53</v>
      </c>
      <c r="L287">
        <v>-1</v>
      </c>
      <c r="M287">
        <v>-1</v>
      </c>
      <c r="N287" t="s">
        <v>24</v>
      </c>
      <c r="O287">
        <v>-1</v>
      </c>
    </row>
    <row r="288" spans="1:15" ht="409.6" x14ac:dyDescent="0.3">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ht="409.6" x14ac:dyDescent="0.3">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ht="409.6" x14ac:dyDescent="0.3">
      <c r="A290">
        <v>288</v>
      </c>
      <c r="B290" t="s">
        <v>26</v>
      </c>
      <c r="C290" t="s">
        <v>933</v>
      </c>
      <c r="D290" s="1" t="s">
        <v>702</v>
      </c>
      <c r="E290">
        <v>4.3</v>
      </c>
      <c r="F290" s="1" t="s">
        <v>703</v>
      </c>
      <c r="G290" t="s">
        <v>675</v>
      </c>
      <c r="H290" t="s">
        <v>393</v>
      </c>
      <c r="I290" t="s">
        <v>52</v>
      </c>
      <c r="J290">
        <v>-1</v>
      </c>
      <c r="K290" t="s">
        <v>53</v>
      </c>
      <c r="L290">
        <v>-1</v>
      </c>
      <c r="M290">
        <v>-1</v>
      </c>
      <c r="N290" t="s">
        <v>24</v>
      </c>
      <c r="O290">
        <v>-1</v>
      </c>
    </row>
    <row r="291" spans="1:15" ht="409.6" x14ac:dyDescent="0.3">
      <c r="A291">
        <v>289</v>
      </c>
      <c r="B291" t="s">
        <v>26</v>
      </c>
      <c r="C291" t="s">
        <v>933</v>
      </c>
      <c r="D291" s="1" t="s">
        <v>938</v>
      </c>
      <c r="E291">
        <v>3.4</v>
      </c>
      <c r="F291" s="1" t="s">
        <v>939</v>
      </c>
      <c r="G291" t="s">
        <v>152</v>
      </c>
      <c r="H291" t="s">
        <v>914</v>
      </c>
      <c r="I291" t="s">
        <v>52</v>
      </c>
      <c r="J291">
        <v>1960</v>
      </c>
      <c r="K291" t="s">
        <v>53</v>
      </c>
      <c r="L291" t="s">
        <v>918</v>
      </c>
      <c r="M291" t="s">
        <v>34</v>
      </c>
      <c r="N291" t="s">
        <v>160</v>
      </c>
      <c r="O291">
        <v>-1</v>
      </c>
    </row>
    <row r="292" spans="1:15" x14ac:dyDescent="0.3">
      <c r="A292">
        <v>290</v>
      </c>
      <c r="B292" t="s">
        <v>26</v>
      </c>
      <c r="C292" t="s">
        <v>933</v>
      </c>
      <c r="D292" t="s">
        <v>940</v>
      </c>
      <c r="E292">
        <v>-1</v>
      </c>
      <c r="F292" t="s">
        <v>941</v>
      </c>
      <c r="G292" t="s">
        <v>143</v>
      </c>
      <c r="H292" t="s">
        <v>942</v>
      </c>
      <c r="I292" t="s">
        <v>52</v>
      </c>
      <c r="J292">
        <v>-1</v>
      </c>
      <c r="K292" t="s">
        <v>53</v>
      </c>
      <c r="L292">
        <v>-1</v>
      </c>
      <c r="M292">
        <v>-1</v>
      </c>
      <c r="N292" t="s">
        <v>24</v>
      </c>
      <c r="O292">
        <v>-1</v>
      </c>
    </row>
    <row r="293" spans="1:15" ht="409.6" x14ac:dyDescent="0.3">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v>-1</v>
      </c>
    </row>
    <row r="294" spans="1:15" ht="409.6" x14ac:dyDescent="0.3">
      <c r="A294">
        <v>292</v>
      </c>
      <c r="B294" t="s">
        <v>945</v>
      </c>
      <c r="C294" t="s">
        <v>933</v>
      </c>
      <c r="D294" s="1" t="s">
        <v>946</v>
      </c>
      <c r="E294">
        <v>3.5</v>
      </c>
      <c r="F294" s="1" t="s">
        <v>593</v>
      </c>
      <c r="G294" t="s">
        <v>652</v>
      </c>
      <c r="H294" t="s">
        <v>415</v>
      </c>
      <c r="I294" t="s">
        <v>66</v>
      </c>
      <c r="J294">
        <v>1969</v>
      </c>
      <c r="K294" t="s">
        <v>32</v>
      </c>
      <c r="L294" t="s">
        <v>175</v>
      </c>
      <c r="M294" t="s">
        <v>175</v>
      </c>
      <c r="N294" t="s">
        <v>68</v>
      </c>
      <c r="O294">
        <v>-1</v>
      </c>
    </row>
    <row r="295" spans="1:15" ht="409.6" x14ac:dyDescent="0.3">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ht="409.6" x14ac:dyDescent="0.3">
      <c r="A296">
        <v>294</v>
      </c>
      <c r="B296" t="s">
        <v>26</v>
      </c>
      <c r="C296" t="s">
        <v>933</v>
      </c>
      <c r="D296" s="1" t="s">
        <v>950</v>
      </c>
      <c r="E296">
        <v>3.7</v>
      </c>
      <c r="F296" s="1" t="s">
        <v>951</v>
      </c>
      <c r="G296" t="s">
        <v>952</v>
      </c>
      <c r="H296" t="s">
        <v>952</v>
      </c>
      <c r="I296" t="s">
        <v>46</v>
      </c>
      <c r="J296">
        <v>-1</v>
      </c>
      <c r="K296" t="s">
        <v>53</v>
      </c>
      <c r="L296" t="s">
        <v>953</v>
      </c>
      <c r="M296" t="s">
        <v>73</v>
      </c>
      <c r="N296" t="s">
        <v>41</v>
      </c>
      <c r="O296">
        <v>-1</v>
      </c>
    </row>
    <row r="297" spans="1:15" ht="409.6" x14ac:dyDescent="0.3">
      <c r="A297">
        <v>295</v>
      </c>
      <c r="B297" t="s">
        <v>26</v>
      </c>
      <c r="C297" t="s">
        <v>933</v>
      </c>
      <c r="D297" s="1" t="s">
        <v>954</v>
      </c>
      <c r="E297">
        <v>4.0999999999999996</v>
      </c>
      <c r="F297" s="1" t="s">
        <v>955</v>
      </c>
      <c r="G297" t="s">
        <v>956</v>
      </c>
      <c r="H297" t="s">
        <v>957</v>
      </c>
      <c r="I297" t="s">
        <v>66</v>
      </c>
      <c r="J297">
        <v>-1</v>
      </c>
      <c r="K297" t="s">
        <v>958</v>
      </c>
      <c r="L297" t="s">
        <v>139</v>
      </c>
      <c r="M297" t="s">
        <v>140</v>
      </c>
      <c r="N297" t="s">
        <v>24</v>
      </c>
      <c r="O297">
        <v>-1</v>
      </c>
    </row>
    <row r="298" spans="1:15" ht="409.6" x14ac:dyDescent="0.3">
      <c r="A298">
        <v>296</v>
      </c>
      <c r="B298" t="s">
        <v>26</v>
      </c>
      <c r="C298" t="s">
        <v>933</v>
      </c>
      <c r="D298" s="1" t="s">
        <v>959</v>
      </c>
      <c r="E298">
        <v>3.4</v>
      </c>
      <c r="F298" s="1" t="s">
        <v>960</v>
      </c>
      <c r="G298" t="s">
        <v>19</v>
      </c>
      <c r="H298" t="s">
        <v>19</v>
      </c>
      <c r="I298" t="s">
        <v>117</v>
      </c>
      <c r="J298">
        <v>2017</v>
      </c>
      <c r="K298" t="s">
        <v>53</v>
      </c>
      <c r="L298" t="s">
        <v>961</v>
      </c>
      <c r="M298" t="s">
        <v>73</v>
      </c>
      <c r="N298" t="s">
        <v>24</v>
      </c>
      <c r="O298">
        <v>-1</v>
      </c>
    </row>
    <row r="299" spans="1:15" ht="409.6" x14ac:dyDescent="0.3">
      <c r="A299">
        <v>297</v>
      </c>
      <c r="B299" t="s">
        <v>218</v>
      </c>
      <c r="C299" t="s">
        <v>933</v>
      </c>
      <c r="D299" s="1" t="s">
        <v>962</v>
      </c>
      <c r="E299">
        <v>4.5</v>
      </c>
      <c r="F299" s="1" t="s">
        <v>963</v>
      </c>
      <c r="G299" t="s">
        <v>415</v>
      </c>
      <c r="H299" t="s">
        <v>111</v>
      </c>
      <c r="I299" t="s">
        <v>117</v>
      </c>
      <c r="J299">
        <v>2017</v>
      </c>
      <c r="K299" t="s">
        <v>53</v>
      </c>
      <c r="L299" t="s">
        <v>92</v>
      </c>
      <c r="M299" t="s">
        <v>60</v>
      </c>
      <c r="N299" t="s">
        <v>24</v>
      </c>
      <c r="O299">
        <v>-1</v>
      </c>
    </row>
    <row r="300" spans="1:15" ht="409.6" x14ac:dyDescent="0.3">
      <c r="A300">
        <v>298</v>
      </c>
      <c r="B300" t="s">
        <v>26</v>
      </c>
      <c r="C300" t="s">
        <v>933</v>
      </c>
      <c r="D300" s="1" t="s">
        <v>964</v>
      </c>
      <c r="E300">
        <v>3.5</v>
      </c>
      <c r="F300" s="1" t="s">
        <v>965</v>
      </c>
      <c r="G300" t="s">
        <v>19</v>
      </c>
      <c r="H300" t="s">
        <v>966</v>
      </c>
      <c r="I300" t="s">
        <v>20</v>
      </c>
      <c r="J300">
        <v>1990</v>
      </c>
      <c r="K300" t="s">
        <v>53</v>
      </c>
      <c r="L300" t="s">
        <v>967</v>
      </c>
      <c r="M300" t="s">
        <v>968</v>
      </c>
      <c r="N300" t="s">
        <v>24</v>
      </c>
      <c r="O300">
        <v>-1</v>
      </c>
    </row>
    <row r="301" spans="1:15" ht="158.4" x14ac:dyDescent="0.3">
      <c r="A301">
        <v>299</v>
      </c>
      <c r="B301" t="s">
        <v>26</v>
      </c>
      <c r="C301" t="s">
        <v>933</v>
      </c>
      <c r="D301" s="1" t="s">
        <v>969</v>
      </c>
      <c r="E301">
        <v>3.6</v>
      </c>
      <c r="F301" s="1" t="s">
        <v>970</v>
      </c>
      <c r="G301" t="s">
        <v>971</v>
      </c>
      <c r="H301" t="s">
        <v>972</v>
      </c>
      <c r="I301" t="s">
        <v>66</v>
      </c>
      <c r="J301">
        <v>2007</v>
      </c>
      <c r="K301" t="s">
        <v>32</v>
      </c>
      <c r="L301" t="s">
        <v>47</v>
      </c>
      <c r="M301" t="s">
        <v>48</v>
      </c>
      <c r="N301" t="s">
        <v>68</v>
      </c>
      <c r="O301">
        <v>-1</v>
      </c>
    </row>
    <row r="302" spans="1:15" ht="409.6" x14ac:dyDescent="0.3">
      <c r="A302">
        <v>300</v>
      </c>
      <c r="B302" t="s">
        <v>26</v>
      </c>
      <c r="C302" t="s">
        <v>933</v>
      </c>
      <c r="D302" s="1" t="s">
        <v>973</v>
      </c>
      <c r="E302">
        <v>3.2</v>
      </c>
      <c r="F302" s="1" t="s">
        <v>974</v>
      </c>
      <c r="G302" t="s">
        <v>975</v>
      </c>
      <c r="H302" t="s">
        <v>975</v>
      </c>
      <c r="I302" t="s">
        <v>66</v>
      </c>
      <c r="J302">
        <v>1788</v>
      </c>
      <c r="K302" t="s">
        <v>98</v>
      </c>
      <c r="L302" t="s">
        <v>976</v>
      </c>
      <c r="M302" t="s">
        <v>98</v>
      </c>
      <c r="N302" t="s">
        <v>68</v>
      </c>
      <c r="O302">
        <v>-1</v>
      </c>
    </row>
    <row r="303" spans="1:15" ht="409.6" x14ac:dyDescent="0.3">
      <c r="A303">
        <v>301</v>
      </c>
      <c r="B303" t="s">
        <v>26</v>
      </c>
      <c r="C303" t="s">
        <v>933</v>
      </c>
      <c r="D303" s="1" t="s">
        <v>977</v>
      </c>
      <c r="E303">
        <v>3.7</v>
      </c>
      <c r="F303" s="1" t="s">
        <v>978</v>
      </c>
      <c r="G303" t="s">
        <v>19</v>
      </c>
      <c r="H303" t="s">
        <v>979</v>
      </c>
      <c r="I303" t="s">
        <v>46</v>
      </c>
      <c r="J303">
        <v>2000</v>
      </c>
      <c r="K303" t="s">
        <v>53</v>
      </c>
      <c r="L303" t="s">
        <v>59</v>
      </c>
      <c r="M303" t="s">
        <v>60</v>
      </c>
      <c r="N303" t="s">
        <v>164</v>
      </c>
      <c r="O303">
        <v>-1</v>
      </c>
    </row>
    <row r="304" spans="1:15" ht="409.6" x14ac:dyDescent="0.3">
      <c r="A304">
        <v>302</v>
      </c>
      <c r="B304" t="s">
        <v>26</v>
      </c>
      <c r="C304" t="s">
        <v>933</v>
      </c>
      <c r="D304" s="1" t="s">
        <v>980</v>
      </c>
      <c r="E304">
        <v>4</v>
      </c>
      <c r="F304" s="1" t="s">
        <v>981</v>
      </c>
      <c r="G304" t="s">
        <v>982</v>
      </c>
      <c r="H304" t="s">
        <v>983</v>
      </c>
      <c r="I304" t="s">
        <v>46</v>
      </c>
      <c r="J304">
        <v>1992</v>
      </c>
      <c r="K304" t="s">
        <v>53</v>
      </c>
      <c r="L304" t="s">
        <v>961</v>
      </c>
      <c r="M304" t="s">
        <v>73</v>
      </c>
      <c r="N304" t="s">
        <v>41</v>
      </c>
      <c r="O304">
        <v>-1</v>
      </c>
    </row>
    <row r="305" spans="1:15" ht="409.6" x14ac:dyDescent="0.3">
      <c r="A305">
        <v>303</v>
      </c>
      <c r="B305" t="s">
        <v>26</v>
      </c>
      <c r="C305" t="s">
        <v>984</v>
      </c>
      <c r="D305" s="1" t="s">
        <v>141</v>
      </c>
      <c r="E305">
        <v>3.2</v>
      </c>
      <c r="F305" s="1" t="s">
        <v>142</v>
      </c>
      <c r="G305" t="s">
        <v>83</v>
      </c>
      <c r="H305" t="s">
        <v>143</v>
      </c>
      <c r="I305" t="s">
        <v>52</v>
      </c>
      <c r="J305">
        <v>2015</v>
      </c>
      <c r="K305" t="s">
        <v>53</v>
      </c>
      <c r="L305" t="s">
        <v>59</v>
      </c>
      <c r="M305" t="s">
        <v>60</v>
      </c>
      <c r="N305" t="s">
        <v>24</v>
      </c>
      <c r="O305">
        <v>-1</v>
      </c>
    </row>
    <row r="306" spans="1:15" ht="409.6" x14ac:dyDescent="0.3">
      <c r="A306">
        <v>304</v>
      </c>
      <c r="B306" t="s">
        <v>26</v>
      </c>
      <c r="C306" t="s">
        <v>984</v>
      </c>
      <c r="D306" s="1" t="s">
        <v>176</v>
      </c>
      <c r="E306">
        <v>4.5</v>
      </c>
      <c r="F306" s="1" t="s">
        <v>177</v>
      </c>
      <c r="G306" t="s">
        <v>178</v>
      </c>
      <c r="H306" t="s">
        <v>179</v>
      </c>
      <c r="I306" t="s">
        <v>52</v>
      </c>
      <c r="J306">
        <v>2005</v>
      </c>
      <c r="K306" t="s">
        <v>53</v>
      </c>
      <c r="L306" t="s">
        <v>118</v>
      </c>
      <c r="M306" t="s">
        <v>98</v>
      </c>
      <c r="N306" t="s">
        <v>164</v>
      </c>
      <c r="O306">
        <v>-1</v>
      </c>
    </row>
    <row r="307" spans="1:15" ht="409.6" x14ac:dyDescent="0.3">
      <c r="A307">
        <v>305</v>
      </c>
      <c r="B307" t="s">
        <v>985</v>
      </c>
      <c r="C307" t="s">
        <v>984</v>
      </c>
      <c r="D307" s="1" t="s">
        <v>986</v>
      </c>
      <c r="E307">
        <v>3.4</v>
      </c>
      <c r="F307" s="1" t="s">
        <v>987</v>
      </c>
      <c r="G307" t="s">
        <v>122</v>
      </c>
      <c r="H307" t="s">
        <v>143</v>
      </c>
      <c r="I307" t="s">
        <v>52</v>
      </c>
      <c r="J307">
        <v>2013</v>
      </c>
      <c r="K307" t="s">
        <v>53</v>
      </c>
      <c r="L307" t="s">
        <v>84</v>
      </c>
      <c r="M307" t="s">
        <v>60</v>
      </c>
      <c r="N307" t="s">
        <v>24</v>
      </c>
      <c r="O307">
        <v>-1</v>
      </c>
    </row>
    <row r="308" spans="1:15" ht="43.2" x14ac:dyDescent="0.3">
      <c r="A308">
        <v>306</v>
      </c>
      <c r="B308" t="s">
        <v>26</v>
      </c>
      <c r="C308" t="s">
        <v>984</v>
      </c>
      <c r="D308" t="s">
        <v>988</v>
      </c>
      <c r="E308">
        <v>3.9</v>
      </c>
      <c r="F308" s="1" t="s">
        <v>989</v>
      </c>
      <c r="G308" t="s">
        <v>990</v>
      </c>
      <c r="H308" t="s">
        <v>371</v>
      </c>
      <c r="I308" t="s">
        <v>107</v>
      </c>
      <c r="J308">
        <v>2004</v>
      </c>
      <c r="K308" t="s">
        <v>53</v>
      </c>
      <c r="L308" t="s">
        <v>92</v>
      </c>
      <c r="M308" t="s">
        <v>60</v>
      </c>
      <c r="N308" t="s">
        <v>160</v>
      </c>
      <c r="O308">
        <v>-1</v>
      </c>
    </row>
    <row r="309" spans="1:15" ht="43.2" x14ac:dyDescent="0.3">
      <c r="A309">
        <v>307</v>
      </c>
      <c r="B309" t="s">
        <v>26</v>
      </c>
      <c r="C309" t="s">
        <v>984</v>
      </c>
      <c r="D309" t="s">
        <v>991</v>
      </c>
      <c r="E309">
        <v>3.2</v>
      </c>
      <c r="F309" s="1" t="s">
        <v>992</v>
      </c>
      <c r="G309" t="s">
        <v>192</v>
      </c>
      <c r="H309" t="s">
        <v>993</v>
      </c>
      <c r="I309" t="s">
        <v>117</v>
      </c>
      <c r="J309">
        <v>-1</v>
      </c>
      <c r="K309" t="s">
        <v>53</v>
      </c>
      <c r="L309" t="s">
        <v>92</v>
      </c>
      <c r="M309" t="s">
        <v>60</v>
      </c>
      <c r="N309" t="s">
        <v>212</v>
      </c>
      <c r="O309">
        <v>-1</v>
      </c>
    </row>
    <row r="310" spans="1:15" ht="409.6" x14ac:dyDescent="0.3">
      <c r="A310">
        <v>308</v>
      </c>
      <c r="B310" t="s">
        <v>26</v>
      </c>
      <c r="C310" t="s">
        <v>984</v>
      </c>
      <c r="D310" s="1" t="s">
        <v>994</v>
      </c>
      <c r="E310">
        <v>5</v>
      </c>
      <c r="F310" s="1" t="s">
        <v>992</v>
      </c>
      <c r="G310" t="s">
        <v>19</v>
      </c>
      <c r="H310" t="s">
        <v>995</v>
      </c>
      <c r="I310" t="s">
        <v>688</v>
      </c>
      <c r="J310">
        <v>-1</v>
      </c>
      <c r="K310" t="s">
        <v>32</v>
      </c>
      <c r="L310">
        <v>-1</v>
      </c>
      <c r="M310">
        <v>-1</v>
      </c>
      <c r="N310" t="s">
        <v>24</v>
      </c>
      <c r="O310">
        <v>-1</v>
      </c>
    </row>
    <row r="311" spans="1:15" ht="72" x14ac:dyDescent="0.3">
      <c r="A311">
        <v>309</v>
      </c>
      <c r="B311" t="s">
        <v>26</v>
      </c>
      <c r="C311" t="s">
        <v>984</v>
      </c>
      <c r="D311" t="s">
        <v>996</v>
      </c>
      <c r="E311">
        <v>3.4</v>
      </c>
      <c r="F311" s="1" t="s">
        <v>997</v>
      </c>
      <c r="G311" t="s">
        <v>415</v>
      </c>
      <c r="H311" t="s">
        <v>998</v>
      </c>
      <c r="I311" t="s">
        <v>31</v>
      </c>
      <c r="J311">
        <v>2003</v>
      </c>
      <c r="K311" t="s">
        <v>53</v>
      </c>
      <c r="L311" t="s">
        <v>175</v>
      </c>
      <c r="M311" t="s">
        <v>175</v>
      </c>
      <c r="N311" t="s">
        <v>101</v>
      </c>
      <c r="O311">
        <v>-1</v>
      </c>
    </row>
    <row r="312" spans="1:15" ht="409.6" x14ac:dyDescent="0.3">
      <c r="A312">
        <v>310</v>
      </c>
      <c r="B312" t="s">
        <v>26</v>
      </c>
      <c r="C312" t="s">
        <v>984</v>
      </c>
      <c r="D312" s="1" t="s">
        <v>999</v>
      </c>
      <c r="E312">
        <v>4.4000000000000004</v>
      </c>
      <c r="F312" s="1" t="s">
        <v>1000</v>
      </c>
      <c r="G312" t="s">
        <v>19</v>
      </c>
      <c r="H312" t="s">
        <v>848</v>
      </c>
      <c r="I312" t="s">
        <v>52</v>
      </c>
      <c r="J312">
        <v>2015</v>
      </c>
      <c r="K312" t="s">
        <v>53</v>
      </c>
      <c r="L312" t="s">
        <v>92</v>
      </c>
      <c r="M312" t="s">
        <v>60</v>
      </c>
      <c r="N312" t="s">
        <v>24</v>
      </c>
      <c r="O312">
        <v>-1</v>
      </c>
    </row>
    <row r="313" spans="1:15" ht="409.6" x14ac:dyDescent="0.3">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ht="409.6" x14ac:dyDescent="0.3">
      <c r="A314">
        <v>312</v>
      </c>
      <c r="B314" t="s">
        <v>709</v>
      </c>
      <c r="C314" t="s">
        <v>984</v>
      </c>
      <c r="D314" s="1" t="s">
        <v>710</v>
      </c>
      <c r="E314">
        <v>3.8</v>
      </c>
      <c r="F314" s="1" t="s">
        <v>711</v>
      </c>
      <c r="G314" t="s">
        <v>712</v>
      </c>
      <c r="H314" t="s">
        <v>64</v>
      </c>
      <c r="I314" t="s">
        <v>107</v>
      </c>
      <c r="J314">
        <v>2013</v>
      </c>
      <c r="K314" t="s">
        <v>32</v>
      </c>
      <c r="L314" t="s">
        <v>67</v>
      </c>
      <c r="M314" t="s">
        <v>67</v>
      </c>
      <c r="N314" t="s">
        <v>41</v>
      </c>
      <c r="O314">
        <v>-1</v>
      </c>
    </row>
    <row r="315" spans="1:15" ht="409.6" x14ac:dyDescent="0.3">
      <c r="A315">
        <v>313</v>
      </c>
      <c r="B315" t="s">
        <v>26</v>
      </c>
      <c r="C315" t="s">
        <v>984</v>
      </c>
      <c r="D315" s="1" t="s">
        <v>1001</v>
      </c>
      <c r="E315">
        <v>3.5</v>
      </c>
      <c r="F315" s="1" t="s">
        <v>1002</v>
      </c>
      <c r="G315" t="s">
        <v>163</v>
      </c>
      <c r="H315" t="s">
        <v>927</v>
      </c>
      <c r="I315" t="s">
        <v>107</v>
      </c>
      <c r="J315">
        <v>1992</v>
      </c>
      <c r="K315" t="s">
        <v>32</v>
      </c>
      <c r="L315" t="s">
        <v>1003</v>
      </c>
      <c r="M315" t="s">
        <v>170</v>
      </c>
      <c r="N315" t="s">
        <v>41</v>
      </c>
      <c r="O315">
        <v>-1</v>
      </c>
    </row>
    <row r="316" spans="1:15" ht="409.6" x14ac:dyDescent="0.3">
      <c r="A316">
        <v>314</v>
      </c>
      <c r="B316" t="s">
        <v>240</v>
      </c>
      <c r="C316" t="s">
        <v>984</v>
      </c>
      <c r="D316" s="1" t="s">
        <v>1004</v>
      </c>
      <c r="E316">
        <v>3.8</v>
      </c>
      <c r="F316" s="1" t="s">
        <v>1005</v>
      </c>
      <c r="G316" t="s">
        <v>143</v>
      </c>
      <c r="H316" t="s">
        <v>143</v>
      </c>
      <c r="I316" t="s">
        <v>107</v>
      </c>
      <c r="J316">
        <v>2011</v>
      </c>
      <c r="K316" t="s">
        <v>53</v>
      </c>
      <c r="L316" t="s">
        <v>22</v>
      </c>
      <c r="M316" t="s">
        <v>23</v>
      </c>
      <c r="N316" t="s">
        <v>24</v>
      </c>
      <c r="O316">
        <v>-1</v>
      </c>
    </row>
    <row r="317" spans="1:15" ht="409.6" x14ac:dyDescent="0.3">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ht="409.6" x14ac:dyDescent="0.3">
      <c r="A318">
        <v>316</v>
      </c>
      <c r="B318" t="s">
        <v>26</v>
      </c>
      <c r="C318" t="s">
        <v>984</v>
      </c>
      <c r="D318" s="1" t="s">
        <v>1010</v>
      </c>
      <c r="E318">
        <v>3.4</v>
      </c>
      <c r="F318" s="1" t="s">
        <v>1011</v>
      </c>
      <c r="G318" t="s">
        <v>914</v>
      </c>
      <c r="H318" t="s">
        <v>914</v>
      </c>
      <c r="I318" t="s">
        <v>52</v>
      </c>
      <c r="J318">
        <v>-1</v>
      </c>
      <c r="K318" t="s">
        <v>53</v>
      </c>
      <c r="L318">
        <v>-1</v>
      </c>
      <c r="M318">
        <v>-1</v>
      </c>
      <c r="N318" t="s">
        <v>212</v>
      </c>
      <c r="O318">
        <v>-1</v>
      </c>
    </row>
    <row r="319" spans="1:15" ht="409.6" x14ac:dyDescent="0.3">
      <c r="A319">
        <v>317</v>
      </c>
      <c r="B319" t="s">
        <v>26</v>
      </c>
      <c r="C319" t="s">
        <v>984</v>
      </c>
      <c r="D319" s="1" t="s">
        <v>1012</v>
      </c>
      <c r="E319">
        <v>3.8</v>
      </c>
      <c r="F319" s="1" t="s">
        <v>1013</v>
      </c>
      <c r="G319" t="s">
        <v>19</v>
      </c>
      <c r="H319" t="s">
        <v>1014</v>
      </c>
      <c r="I319" t="s">
        <v>52</v>
      </c>
      <c r="J319">
        <v>2000</v>
      </c>
      <c r="K319" t="s">
        <v>53</v>
      </c>
      <c r="L319" t="s">
        <v>286</v>
      </c>
      <c r="M319" t="s">
        <v>34</v>
      </c>
      <c r="N319" t="s">
        <v>164</v>
      </c>
      <c r="O319">
        <v>-1</v>
      </c>
    </row>
    <row r="320" spans="1:15" ht="409.6" x14ac:dyDescent="0.3">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v>-1</v>
      </c>
    </row>
    <row r="321" spans="1:15" ht="409.6" x14ac:dyDescent="0.3">
      <c r="A321">
        <v>319</v>
      </c>
      <c r="B321" t="s">
        <v>26</v>
      </c>
      <c r="C321" t="s">
        <v>984</v>
      </c>
      <c r="D321" s="1" t="s">
        <v>1015</v>
      </c>
      <c r="E321">
        <v>-1</v>
      </c>
      <c r="F321" t="s">
        <v>1016</v>
      </c>
      <c r="G321" t="s">
        <v>19</v>
      </c>
      <c r="H321" t="s">
        <v>112</v>
      </c>
      <c r="I321" t="s">
        <v>117</v>
      </c>
      <c r="J321">
        <v>-1</v>
      </c>
      <c r="K321" t="s">
        <v>53</v>
      </c>
      <c r="L321" t="s">
        <v>40</v>
      </c>
      <c r="M321" t="s">
        <v>34</v>
      </c>
      <c r="N321" t="s">
        <v>212</v>
      </c>
      <c r="O321">
        <v>-1</v>
      </c>
    </row>
    <row r="322" spans="1:15" ht="409.6" x14ac:dyDescent="0.3">
      <c r="A322">
        <v>320</v>
      </c>
      <c r="B322" t="s">
        <v>26</v>
      </c>
      <c r="C322" t="s">
        <v>984</v>
      </c>
      <c r="D322" s="1" t="s">
        <v>1017</v>
      </c>
      <c r="E322">
        <v>4.5999999999999996</v>
      </c>
      <c r="F322" s="1" t="s">
        <v>1018</v>
      </c>
      <c r="G322" t="s">
        <v>1019</v>
      </c>
      <c r="H322" t="s">
        <v>126</v>
      </c>
      <c r="I322" t="s">
        <v>52</v>
      </c>
      <c r="J322">
        <v>-1</v>
      </c>
      <c r="K322" t="s">
        <v>53</v>
      </c>
      <c r="L322" t="s">
        <v>40</v>
      </c>
      <c r="M322" t="s">
        <v>34</v>
      </c>
      <c r="N322" t="s">
        <v>403</v>
      </c>
      <c r="O322">
        <v>-1</v>
      </c>
    </row>
    <row r="323" spans="1:15" ht="409.6" x14ac:dyDescent="0.3">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ht="409.6" x14ac:dyDescent="0.3">
      <c r="A324">
        <v>322</v>
      </c>
      <c r="B324" t="s">
        <v>26</v>
      </c>
      <c r="C324" t="s">
        <v>984</v>
      </c>
      <c r="D324" s="1" t="s">
        <v>1025</v>
      </c>
      <c r="E324">
        <v>-1</v>
      </c>
      <c r="F324" t="s">
        <v>1026</v>
      </c>
      <c r="G324" t="s">
        <v>647</v>
      </c>
      <c r="H324" t="s">
        <v>647</v>
      </c>
      <c r="I324" t="s">
        <v>117</v>
      </c>
      <c r="J324">
        <v>-1</v>
      </c>
      <c r="K324" t="s">
        <v>53</v>
      </c>
      <c r="L324">
        <v>-1</v>
      </c>
      <c r="M324">
        <v>-1</v>
      </c>
      <c r="N324" t="s">
        <v>24</v>
      </c>
      <c r="O324">
        <v>-1</v>
      </c>
    </row>
    <row r="325" spans="1:15" ht="409.6" x14ac:dyDescent="0.3">
      <c r="A325">
        <v>323</v>
      </c>
      <c r="B325" t="s">
        <v>26</v>
      </c>
      <c r="C325" t="s">
        <v>1027</v>
      </c>
      <c r="D325" s="1" t="s">
        <v>245</v>
      </c>
      <c r="E325">
        <v>3.7</v>
      </c>
      <c r="F325" s="1" t="s">
        <v>246</v>
      </c>
      <c r="G325" t="s">
        <v>143</v>
      </c>
      <c r="H325" t="s">
        <v>247</v>
      </c>
      <c r="I325" t="s">
        <v>20</v>
      </c>
      <c r="J325">
        <v>2016</v>
      </c>
      <c r="K325" t="s">
        <v>98</v>
      </c>
      <c r="L325" t="s">
        <v>118</v>
      </c>
      <c r="M325" t="s">
        <v>98</v>
      </c>
      <c r="N325" t="s">
        <v>24</v>
      </c>
      <c r="O325">
        <v>-1</v>
      </c>
    </row>
    <row r="326" spans="1:15" ht="409.6" x14ac:dyDescent="0.3">
      <c r="A326">
        <v>324</v>
      </c>
      <c r="B326" t="s">
        <v>26</v>
      </c>
      <c r="C326" t="s">
        <v>1027</v>
      </c>
      <c r="D326" s="1" t="s">
        <v>243</v>
      </c>
      <c r="E326">
        <v>3.3</v>
      </c>
      <c r="F326" s="1" t="s">
        <v>244</v>
      </c>
      <c r="G326" t="s">
        <v>200</v>
      </c>
      <c r="H326" t="s">
        <v>200</v>
      </c>
      <c r="I326" t="s">
        <v>46</v>
      </c>
      <c r="J326">
        <v>2000</v>
      </c>
      <c r="K326" t="s">
        <v>53</v>
      </c>
      <c r="L326" t="s">
        <v>169</v>
      </c>
      <c r="M326" t="s">
        <v>170</v>
      </c>
      <c r="N326" t="s">
        <v>24</v>
      </c>
      <c r="O326">
        <v>-1</v>
      </c>
    </row>
    <row r="327" spans="1:15" ht="409.6" x14ac:dyDescent="0.3">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v>-1</v>
      </c>
    </row>
    <row r="328" spans="1:15" ht="409.6" x14ac:dyDescent="0.3">
      <c r="A328">
        <v>326</v>
      </c>
      <c r="B328" t="s">
        <v>26</v>
      </c>
      <c r="C328" t="s">
        <v>1027</v>
      </c>
      <c r="D328" s="1" t="s">
        <v>1028</v>
      </c>
      <c r="E328">
        <v>3.7</v>
      </c>
      <c r="F328" s="1" t="s">
        <v>1029</v>
      </c>
      <c r="G328" t="s">
        <v>844</v>
      </c>
      <c r="H328" t="s">
        <v>1030</v>
      </c>
      <c r="I328" t="s">
        <v>20</v>
      </c>
      <c r="J328">
        <v>1997</v>
      </c>
      <c r="K328" t="s">
        <v>53</v>
      </c>
      <c r="L328" t="s">
        <v>92</v>
      </c>
      <c r="M328" t="s">
        <v>60</v>
      </c>
      <c r="N328" t="s">
        <v>164</v>
      </c>
      <c r="O328">
        <v>-1</v>
      </c>
    </row>
    <row r="329" spans="1:15" ht="409.6" x14ac:dyDescent="0.3">
      <c r="A329">
        <v>327</v>
      </c>
      <c r="B329" t="s">
        <v>26</v>
      </c>
      <c r="C329" t="s">
        <v>1027</v>
      </c>
      <c r="D329" s="1" t="s">
        <v>1031</v>
      </c>
      <c r="E329">
        <v>3.3</v>
      </c>
      <c r="F329" s="1" t="s">
        <v>1032</v>
      </c>
      <c r="G329" t="s">
        <v>143</v>
      </c>
      <c r="H329" t="s">
        <v>1033</v>
      </c>
      <c r="I329" t="s">
        <v>107</v>
      </c>
      <c r="J329">
        <v>1995</v>
      </c>
      <c r="K329" t="s">
        <v>53</v>
      </c>
      <c r="L329" t="s">
        <v>286</v>
      </c>
      <c r="M329" t="s">
        <v>34</v>
      </c>
      <c r="N329" t="s">
        <v>164</v>
      </c>
      <c r="O329">
        <v>-1</v>
      </c>
    </row>
    <row r="330" spans="1:15" ht="409.6" x14ac:dyDescent="0.3">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ht="409.6" x14ac:dyDescent="0.3">
      <c r="A331">
        <v>329</v>
      </c>
      <c r="B331" t="s">
        <v>26</v>
      </c>
      <c r="C331" t="s">
        <v>1027</v>
      </c>
      <c r="D331" s="1" t="s">
        <v>1038</v>
      </c>
      <c r="E331">
        <v>-1</v>
      </c>
      <c r="F331" t="s">
        <v>1039</v>
      </c>
      <c r="G331" t="s">
        <v>415</v>
      </c>
      <c r="H331" t="s">
        <v>1040</v>
      </c>
      <c r="I331" t="s">
        <v>52</v>
      </c>
      <c r="J331">
        <v>-1</v>
      </c>
      <c r="K331" t="s">
        <v>53</v>
      </c>
      <c r="L331" t="s">
        <v>92</v>
      </c>
      <c r="M331" t="s">
        <v>60</v>
      </c>
      <c r="N331" t="s">
        <v>24</v>
      </c>
      <c r="O331">
        <v>-1</v>
      </c>
    </row>
    <row r="332" spans="1:15" ht="409.6" x14ac:dyDescent="0.3">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ht="409.6" x14ac:dyDescent="0.3">
      <c r="A333">
        <v>331</v>
      </c>
      <c r="B333" t="s">
        <v>1041</v>
      </c>
      <c r="C333" t="s">
        <v>1027</v>
      </c>
      <c r="D333" s="1" t="s">
        <v>1042</v>
      </c>
      <c r="E333">
        <v>3.7</v>
      </c>
      <c r="F333" s="1" t="s">
        <v>1043</v>
      </c>
      <c r="G333" t="s">
        <v>1044</v>
      </c>
      <c r="H333" t="s">
        <v>1044</v>
      </c>
      <c r="I333" t="s">
        <v>20</v>
      </c>
      <c r="J333">
        <v>1933</v>
      </c>
      <c r="K333" t="s">
        <v>53</v>
      </c>
      <c r="L333" t="s">
        <v>22</v>
      </c>
      <c r="M333" t="s">
        <v>23</v>
      </c>
      <c r="N333" t="s">
        <v>132</v>
      </c>
      <c r="O333">
        <v>-1</v>
      </c>
    </row>
    <row r="334" spans="1:15" ht="409.6" x14ac:dyDescent="0.3">
      <c r="A334">
        <v>332</v>
      </c>
      <c r="B334" t="s">
        <v>1045</v>
      </c>
      <c r="C334" t="s">
        <v>1027</v>
      </c>
      <c r="D334" s="1" t="s">
        <v>1046</v>
      </c>
      <c r="E334">
        <v>4.8</v>
      </c>
      <c r="F334" s="1" t="s">
        <v>1047</v>
      </c>
      <c r="G334" t="s">
        <v>19</v>
      </c>
      <c r="H334" t="s">
        <v>19</v>
      </c>
      <c r="I334" t="s">
        <v>46</v>
      </c>
      <c r="J334">
        <v>2000</v>
      </c>
      <c r="K334" t="s">
        <v>53</v>
      </c>
      <c r="L334" t="s">
        <v>169</v>
      </c>
      <c r="M334" t="s">
        <v>170</v>
      </c>
      <c r="N334" t="s">
        <v>24</v>
      </c>
      <c r="O334">
        <v>-1</v>
      </c>
    </row>
    <row r="335" spans="1:15" ht="409.6" x14ac:dyDescent="0.3">
      <c r="A335">
        <v>333</v>
      </c>
      <c r="B335" t="s">
        <v>26</v>
      </c>
      <c r="C335" t="s">
        <v>1027</v>
      </c>
      <c r="D335" s="1" t="s">
        <v>1048</v>
      </c>
      <c r="E335">
        <v>5</v>
      </c>
      <c r="F335" s="1" t="s">
        <v>1049</v>
      </c>
      <c r="G335" t="s">
        <v>178</v>
      </c>
      <c r="H335" t="s">
        <v>485</v>
      </c>
      <c r="I335" t="s">
        <v>117</v>
      </c>
      <c r="J335">
        <v>2003</v>
      </c>
      <c r="K335" t="s">
        <v>53</v>
      </c>
      <c r="L335" t="s">
        <v>59</v>
      </c>
      <c r="M335" t="s">
        <v>60</v>
      </c>
      <c r="N335" t="s">
        <v>160</v>
      </c>
      <c r="O335">
        <v>-1</v>
      </c>
    </row>
    <row r="336" spans="1:15" ht="409.6" x14ac:dyDescent="0.3">
      <c r="A336">
        <v>334</v>
      </c>
      <c r="B336" t="s">
        <v>727</v>
      </c>
      <c r="C336" t="s">
        <v>1027</v>
      </c>
      <c r="D336" s="1" t="s">
        <v>728</v>
      </c>
      <c r="E336">
        <v>3.9</v>
      </c>
      <c r="F336" s="1" t="s">
        <v>63</v>
      </c>
      <c r="G336" t="s">
        <v>64</v>
      </c>
      <c r="H336" t="s">
        <v>65</v>
      </c>
      <c r="I336" t="s">
        <v>66</v>
      </c>
      <c r="J336">
        <v>1996</v>
      </c>
      <c r="K336" t="s">
        <v>32</v>
      </c>
      <c r="L336" t="s">
        <v>67</v>
      </c>
      <c r="M336" t="s">
        <v>67</v>
      </c>
      <c r="N336" t="s">
        <v>68</v>
      </c>
      <c r="O336">
        <v>-1</v>
      </c>
    </row>
    <row r="337" spans="1:15" ht="57.6" x14ac:dyDescent="0.3">
      <c r="A337">
        <v>335</v>
      </c>
      <c r="B337" t="s">
        <v>26</v>
      </c>
      <c r="C337" t="s">
        <v>1027</v>
      </c>
      <c r="D337" t="s">
        <v>1050</v>
      </c>
      <c r="E337">
        <v>3.4</v>
      </c>
      <c r="F337" s="1" t="s">
        <v>1051</v>
      </c>
      <c r="G337" t="s">
        <v>83</v>
      </c>
      <c r="H337" t="s">
        <v>83</v>
      </c>
      <c r="I337" t="s">
        <v>46</v>
      </c>
      <c r="J337">
        <v>-1</v>
      </c>
      <c r="K337" t="s">
        <v>53</v>
      </c>
      <c r="L337">
        <v>-1</v>
      </c>
      <c r="M337">
        <v>-1</v>
      </c>
      <c r="N337" t="s">
        <v>24</v>
      </c>
      <c r="O337">
        <v>-1</v>
      </c>
    </row>
    <row r="338" spans="1:15" ht="409.6" x14ac:dyDescent="0.3">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ht="409.6" x14ac:dyDescent="0.3">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ht="409.6" x14ac:dyDescent="0.3">
      <c r="A340">
        <v>338</v>
      </c>
      <c r="B340" t="s">
        <v>26</v>
      </c>
      <c r="C340" t="s">
        <v>1027</v>
      </c>
      <c r="D340" s="1" t="s">
        <v>1062</v>
      </c>
      <c r="E340">
        <v>-1</v>
      </c>
      <c r="F340" t="s">
        <v>1063</v>
      </c>
      <c r="G340" t="s">
        <v>143</v>
      </c>
      <c r="H340" t="s">
        <v>1064</v>
      </c>
      <c r="I340" t="s">
        <v>117</v>
      </c>
      <c r="J340">
        <v>-1</v>
      </c>
      <c r="K340" t="s">
        <v>53</v>
      </c>
      <c r="L340">
        <v>-1</v>
      </c>
      <c r="M340">
        <v>-1</v>
      </c>
      <c r="N340" t="s">
        <v>431</v>
      </c>
      <c r="O340">
        <v>-1</v>
      </c>
    </row>
    <row r="341" spans="1:15" ht="409.6" x14ac:dyDescent="0.3">
      <c r="A341">
        <v>339</v>
      </c>
      <c r="B341" t="s">
        <v>221</v>
      </c>
      <c r="C341" t="s">
        <v>1027</v>
      </c>
      <c r="D341" s="1" t="s">
        <v>1065</v>
      </c>
      <c r="E341">
        <v>2.6</v>
      </c>
      <c r="F341" s="1" t="s">
        <v>1066</v>
      </c>
      <c r="G341" t="s">
        <v>914</v>
      </c>
      <c r="H341" t="s">
        <v>914</v>
      </c>
      <c r="I341" t="s">
        <v>46</v>
      </c>
      <c r="J341">
        <v>1984</v>
      </c>
      <c r="K341" t="s">
        <v>1067</v>
      </c>
      <c r="L341" t="s">
        <v>1068</v>
      </c>
      <c r="M341" t="s">
        <v>1069</v>
      </c>
      <c r="N341" t="s">
        <v>24</v>
      </c>
      <c r="O341">
        <v>-1</v>
      </c>
    </row>
    <row r="342" spans="1:15" ht="409.6" x14ac:dyDescent="0.3">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ht="409.6" x14ac:dyDescent="0.3">
      <c r="A343">
        <v>341</v>
      </c>
      <c r="B343" t="s">
        <v>26</v>
      </c>
      <c r="C343" t="s">
        <v>1027</v>
      </c>
      <c r="D343" s="1" t="s">
        <v>1072</v>
      </c>
      <c r="E343">
        <v>4.8</v>
      </c>
      <c r="F343" s="1" t="s">
        <v>1073</v>
      </c>
      <c r="G343" t="s">
        <v>19</v>
      </c>
      <c r="H343" t="s">
        <v>1074</v>
      </c>
      <c r="I343" t="s">
        <v>117</v>
      </c>
      <c r="J343">
        <v>2011</v>
      </c>
      <c r="K343" t="s">
        <v>53</v>
      </c>
      <c r="L343" t="s">
        <v>92</v>
      </c>
      <c r="M343" t="s">
        <v>60</v>
      </c>
      <c r="N343" t="s">
        <v>24</v>
      </c>
      <c r="O343">
        <v>-1</v>
      </c>
    </row>
    <row r="344" spans="1:15" ht="409.6" x14ac:dyDescent="0.3">
      <c r="A344">
        <v>342</v>
      </c>
      <c r="B344" t="s">
        <v>1075</v>
      </c>
      <c r="C344" t="s">
        <v>1027</v>
      </c>
      <c r="D344" s="1" t="s">
        <v>1076</v>
      </c>
      <c r="E344">
        <v>3.9</v>
      </c>
      <c r="F344" s="1" t="s">
        <v>1077</v>
      </c>
      <c r="G344" t="s">
        <v>19</v>
      </c>
      <c r="H344" t="s">
        <v>19</v>
      </c>
      <c r="I344" t="s">
        <v>52</v>
      </c>
      <c r="J344">
        <v>2012</v>
      </c>
      <c r="K344" t="s">
        <v>53</v>
      </c>
      <c r="L344" t="s">
        <v>33</v>
      </c>
      <c r="M344" t="s">
        <v>34</v>
      </c>
      <c r="N344" t="s">
        <v>24</v>
      </c>
      <c r="O344">
        <v>-1</v>
      </c>
    </row>
    <row r="345" spans="1:15" ht="409.6" x14ac:dyDescent="0.3">
      <c r="A345">
        <v>343</v>
      </c>
      <c r="B345" t="s">
        <v>26</v>
      </c>
      <c r="C345" t="s">
        <v>1078</v>
      </c>
      <c r="D345" s="1" t="s">
        <v>256</v>
      </c>
      <c r="E345">
        <v>4</v>
      </c>
      <c r="F345" s="1" t="s">
        <v>257</v>
      </c>
      <c r="G345" t="s">
        <v>258</v>
      </c>
      <c r="H345" t="s">
        <v>258</v>
      </c>
      <c r="I345" t="s">
        <v>46</v>
      </c>
      <c r="J345">
        <v>2012</v>
      </c>
      <c r="K345" t="s">
        <v>53</v>
      </c>
      <c r="L345" t="s">
        <v>84</v>
      </c>
      <c r="M345" t="s">
        <v>60</v>
      </c>
      <c r="N345" t="s">
        <v>24</v>
      </c>
      <c r="O345" t="s">
        <v>259</v>
      </c>
    </row>
    <row r="346" spans="1:15" ht="409.6" x14ac:dyDescent="0.3">
      <c r="A346">
        <v>344</v>
      </c>
      <c r="B346" t="s">
        <v>26</v>
      </c>
      <c r="C346" t="s">
        <v>1078</v>
      </c>
      <c r="D346" s="1" t="s">
        <v>234</v>
      </c>
      <c r="E346">
        <v>4.2</v>
      </c>
      <c r="F346" s="1" t="s">
        <v>235</v>
      </c>
      <c r="G346" t="s">
        <v>236</v>
      </c>
      <c r="H346" t="s">
        <v>236</v>
      </c>
      <c r="I346" t="s">
        <v>52</v>
      </c>
      <c r="J346">
        <v>2013</v>
      </c>
      <c r="K346" t="s">
        <v>53</v>
      </c>
      <c r="L346" t="s">
        <v>84</v>
      </c>
      <c r="M346" t="s">
        <v>60</v>
      </c>
      <c r="N346" t="s">
        <v>160</v>
      </c>
      <c r="O346">
        <v>-1</v>
      </c>
    </row>
    <row r="347" spans="1:15" ht="409.6" x14ac:dyDescent="0.3">
      <c r="A347">
        <v>345</v>
      </c>
      <c r="B347" t="s">
        <v>734</v>
      </c>
      <c r="C347" t="s">
        <v>1078</v>
      </c>
      <c r="D347" s="1" t="s">
        <v>735</v>
      </c>
      <c r="E347">
        <v>3.7</v>
      </c>
      <c r="F347" s="1" t="s">
        <v>736</v>
      </c>
      <c r="G347" t="s">
        <v>737</v>
      </c>
      <c r="H347" t="s">
        <v>737</v>
      </c>
      <c r="I347" t="s">
        <v>20</v>
      </c>
      <c r="J347">
        <v>1999</v>
      </c>
      <c r="K347" t="s">
        <v>32</v>
      </c>
      <c r="L347" t="s">
        <v>738</v>
      </c>
      <c r="M347" t="s">
        <v>48</v>
      </c>
      <c r="N347" t="s">
        <v>41</v>
      </c>
      <c r="O347">
        <v>-1</v>
      </c>
    </row>
    <row r="348" spans="1:15" ht="409.6" x14ac:dyDescent="0.3">
      <c r="A348">
        <v>346</v>
      </c>
      <c r="B348" t="s">
        <v>26</v>
      </c>
      <c r="C348" t="s">
        <v>1078</v>
      </c>
      <c r="D348" s="1" t="s">
        <v>1079</v>
      </c>
      <c r="E348">
        <v>3</v>
      </c>
      <c r="F348" s="1" t="s">
        <v>1080</v>
      </c>
      <c r="G348" t="s">
        <v>647</v>
      </c>
      <c r="H348" t="s">
        <v>205</v>
      </c>
      <c r="I348" t="s">
        <v>20</v>
      </c>
      <c r="J348">
        <v>1887</v>
      </c>
      <c r="K348" t="s">
        <v>53</v>
      </c>
      <c r="L348" t="s">
        <v>291</v>
      </c>
      <c r="M348" t="s">
        <v>23</v>
      </c>
      <c r="N348" t="s">
        <v>79</v>
      </c>
      <c r="O348">
        <v>-1</v>
      </c>
    </row>
    <row r="349" spans="1:15" ht="409.6" x14ac:dyDescent="0.3">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ht="43.2" x14ac:dyDescent="0.3">
      <c r="A350">
        <v>348</v>
      </c>
      <c r="B350" t="s">
        <v>26</v>
      </c>
      <c r="C350" t="s">
        <v>1078</v>
      </c>
      <c r="D350" t="s">
        <v>1085</v>
      </c>
      <c r="E350">
        <v>2.9</v>
      </c>
      <c r="F350" s="1" t="s">
        <v>1086</v>
      </c>
      <c r="G350" t="s">
        <v>258</v>
      </c>
      <c r="H350" t="s">
        <v>1087</v>
      </c>
      <c r="I350" t="s">
        <v>117</v>
      </c>
      <c r="J350">
        <v>-1</v>
      </c>
      <c r="K350" t="s">
        <v>53</v>
      </c>
      <c r="L350">
        <v>-1</v>
      </c>
      <c r="M350">
        <v>-1</v>
      </c>
      <c r="N350" t="s">
        <v>212</v>
      </c>
      <c r="O350">
        <v>-1</v>
      </c>
    </row>
    <row r="351" spans="1:15" ht="409.6" x14ac:dyDescent="0.3">
      <c r="A351">
        <v>349</v>
      </c>
      <c r="B351" t="s">
        <v>26</v>
      </c>
      <c r="C351" t="s">
        <v>1078</v>
      </c>
      <c r="D351" s="1" t="s">
        <v>1088</v>
      </c>
      <c r="E351">
        <v>5</v>
      </c>
      <c r="F351" s="1" t="s">
        <v>1089</v>
      </c>
      <c r="G351" t="s">
        <v>19</v>
      </c>
      <c r="H351" t="s">
        <v>19</v>
      </c>
      <c r="I351" t="s">
        <v>117</v>
      </c>
      <c r="J351">
        <v>2014</v>
      </c>
      <c r="K351" t="s">
        <v>53</v>
      </c>
      <c r="L351" t="s">
        <v>286</v>
      </c>
      <c r="M351" t="s">
        <v>34</v>
      </c>
      <c r="N351" t="s">
        <v>24</v>
      </c>
      <c r="O351">
        <v>-1</v>
      </c>
    </row>
    <row r="352" spans="1:15" ht="409.6" x14ac:dyDescent="0.3">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ht="409.6" x14ac:dyDescent="0.3">
      <c r="A353">
        <v>351</v>
      </c>
      <c r="B353" t="s">
        <v>26</v>
      </c>
      <c r="C353" t="s">
        <v>1078</v>
      </c>
      <c r="D353" s="1" t="s">
        <v>1093</v>
      </c>
      <c r="E353">
        <v>-1</v>
      </c>
      <c r="F353" t="s">
        <v>1094</v>
      </c>
      <c r="G353" t="s">
        <v>236</v>
      </c>
      <c r="H353">
        <v>-1</v>
      </c>
      <c r="I353">
        <v>-1</v>
      </c>
      <c r="J353">
        <v>-1</v>
      </c>
      <c r="K353">
        <v>-1</v>
      </c>
      <c r="L353">
        <v>-1</v>
      </c>
      <c r="M353">
        <v>-1</v>
      </c>
      <c r="N353">
        <v>-1</v>
      </c>
      <c r="O353">
        <v>-1</v>
      </c>
    </row>
    <row r="354" spans="1:15" ht="409.6" x14ac:dyDescent="0.3">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ht="409.6" x14ac:dyDescent="0.3">
      <c r="A355">
        <v>353</v>
      </c>
      <c r="B355" t="s">
        <v>26</v>
      </c>
      <c r="C355" t="s">
        <v>1078</v>
      </c>
      <c r="D355" s="1" t="s">
        <v>1100</v>
      </c>
      <c r="E355">
        <v>4.9000000000000004</v>
      </c>
      <c r="F355" s="1" t="s">
        <v>1101</v>
      </c>
      <c r="G355" t="s">
        <v>64</v>
      </c>
      <c r="H355" t="s">
        <v>64</v>
      </c>
      <c r="I355" t="s">
        <v>117</v>
      </c>
      <c r="J355">
        <v>2010</v>
      </c>
      <c r="K355" t="s">
        <v>53</v>
      </c>
      <c r="L355" t="s">
        <v>84</v>
      </c>
      <c r="M355" t="s">
        <v>60</v>
      </c>
      <c r="N355" t="s">
        <v>24</v>
      </c>
      <c r="O355">
        <v>-1</v>
      </c>
    </row>
    <row r="356" spans="1:15" ht="409.6" x14ac:dyDescent="0.3">
      <c r="A356">
        <v>354</v>
      </c>
      <c r="B356" t="s">
        <v>1102</v>
      </c>
      <c r="C356" t="s">
        <v>1078</v>
      </c>
      <c r="D356" s="1" t="s">
        <v>1103</v>
      </c>
      <c r="E356">
        <v>4.5999999999999996</v>
      </c>
      <c r="F356" s="1" t="s">
        <v>1104</v>
      </c>
      <c r="G356" t="s">
        <v>1105</v>
      </c>
      <c r="H356" t="s">
        <v>1105</v>
      </c>
      <c r="I356" t="s">
        <v>52</v>
      </c>
      <c r="J356">
        <v>2002</v>
      </c>
      <c r="K356" t="s">
        <v>53</v>
      </c>
      <c r="L356" t="s">
        <v>40</v>
      </c>
      <c r="M356" t="s">
        <v>34</v>
      </c>
      <c r="N356" t="s">
        <v>24</v>
      </c>
      <c r="O356">
        <v>-1</v>
      </c>
    </row>
    <row r="357" spans="1:15" ht="409.6" x14ac:dyDescent="0.3">
      <c r="A357">
        <v>355</v>
      </c>
      <c r="B357" t="s">
        <v>745</v>
      </c>
      <c r="C357" t="s">
        <v>1078</v>
      </c>
      <c r="D357" s="1" t="s">
        <v>746</v>
      </c>
      <c r="E357">
        <v>5</v>
      </c>
      <c r="F357" s="1" t="s">
        <v>747</v>
      </c>
      <c r="G357" t="s">
        <v>485</v>
      </c>
      <c r="H357" t="s">
        <v>748</v>
      </c>
      <c r="I357" t="s">
        <v>117</v>
      </c>
      <c r="J357">
        <v>2011</v>
      </c>
      <c r="K357" t="s">
        <v>53</v>
      </c>
      <c r="L357" t="s">
        <v>92</v>
      </c>
      <c r="M357" t="s">
        <v>60</v>
      </c>
      <c r="N357" t="s">
        <v>212</v>
      </c>
      <c r="O357">
        <v>-1</v>
      </c>
    </row>
    <row r="358" spans="1:15" ht="409.6" x14ac:dyDescent="0.3">
      <c r="A358">
        <v>356</v>
      </c>
      <c r="B358" t="s">
        <v>218</v>
      </c>
      <c r="C358" t="s">
        <v>1078</v>
      </c>
      <c r="D358" s="1" t="s">
        <v>1106</v>
      </c>
      <c r="E358">
        <v>3.9</v>
      </c>
      <c r="F358" s="1" t="s">
        <v>1107</v>
      </c>
      <c r="G358" t="s">
        <v>179</v>
      </c>
      <c r="H358" t="s">
        <v>263</v>
      </c>
      <c r="I358" t="s">
        <v>52</v>
      </c>
      <c r="J358">
        <v>2012</v>
      </c>
      <c r="K358" t="s">
        <v>32</v>
      </c>
      <c r="L358" t="s">
        <v>40</v>
      </c>
      <c r="M358" t="s">
        <v>34</v>
      </c>
      <c r="N358" t="s">
        <v>212</v>
      </c>
      <c r="O358">
        <v>-1</v>
      </c>
    </row>
    <row r="359" spans="1:15" ht="409.6" x14ac:dyDescent="0.3">
      <c r="A359">
        <v>357</v>
      </c>
      <c r="B359" t="s">
        <v>26</v>
      </c>
      <c r="C359" t="s">
        <v>1078</v>
      </c>
      <c r="D359" s="1" t="s">
        <v>1108</v>
      </c>
      <c r="E359">
        <v>-1</v>
      </c>
      <c r="F359" t="s">
        <v>1109</v>
      </c>
      <c r="G359" t="s">
        <v>143</v>
      </c>
      <c r="H359">
        <v>-1</v>
      </c>
      <c r="I359">
        <v>-1</v>
      </c>
      <c r="J359">
        <v>-1</v>
      </c>
      <c r="K359">
        <v>-1</v>
      </c>
      <c r="L359">
        <v>-1</v>
      </c>
      <c r="M359">
        <v>-1</v>
      </c>
      <c r="N359">
        <v>-1</v>
      </c>
      <c r="O359">
        <v>-1</v>
      </c>
    </row>
    <row r="360" spans="1:15" ht="409.6" x14ac:dyDescent="0.3">
      <c r="A360">
        <v>358</v>
      </c>
      <c r="B360" t="s">
        <v>26</v>
      </c>
      <c r="C360" t="s">
        <v>1078</v>
      </c>
      <c r="D360" s="1" t="s">
        <v>1108</v>
      </c>
      <c r="E360">
        <v>-1</v>
      </c>
      <c r="F360" t="s">
        <v>1109</v>
      </c>
      <c r="G360" t="s">
        <v>143</v>
      </c>
      <c r="H360">
        <v>-1</v>
      </c>
      <c r="I360">
        <v>-1</v>
      </c>
      <c r="J360">
        <v>-1</v>
      </c>
      <c r="K360">
        <v>-1</v>
      </c>
      <c r="L360">
        <v>-1</v>
      </c>
      <c r="M360">
        <v>-1</v>
      </c>
      <c r="N360">
        <v>-1</v>
      </c>
      <c r="O360">
        <v>-1</v>
      </c>
    </row>
    <row r="361" spans="1:15" ht="409.6" x14ac:dyDescent="0.3">
      <c r="A361">
        <v>359</v>
      </c>
      <c r="B361" t="s">
        <v>26</v>
      </c>
      <c r="C361" t="s">
        <v>1078</v>
      </c>
      <c r="D361" s="1" t="s">
        <v>1108</v>
      </c>
      <c r="E361">
        <v>-1</v>
      </c>
      <c r="F361" t="s">
        <v>1109</v>
      </c>
      <c r="G361" t="s">
        <v>143</v>
      </c>
      <c r="H361">
        <v>-1</v>
      </c>
      <c r="I361">
        <v>-1</v>
      </c>
      <c r="J361">
        <v>-1</v>
      </c>
      <c r="K361">
        <v>-1</v>
      </c>
      <c r="L361">
        <v>-1</v>
      </c>
      <c r="M361">
        <v>-1</v>
      </c>
      <c r="N361">
        <v>-1</v>
      </c>
      <c r="O361">
        <v>-1</v>
      </c>
    </row>
    <row r="362" spans="1:15" ht="409.6" x14ac:dyDescent="0.3">
      <c r="A362">
        <v>360</v>
      </c>
      <c r="B362" t="s">
        <v>26</v>
      </c>
      <c r="C362" t="s">
        <v>1078</v>
      </c>
      <c r="D362" s="1" t="s">
        <v>1108</v>
      </c>
      <c r="E362">
        <v>-1</v>
      </c>
      <c r="F362" t="s">
        <v>1109</v>
      </c>
      <c r="G362" t="s">
        <v>143</v>
      </c>
      <c r="H362">
        <v>-1</v>
      </c>
      <c r="I362">
        <v>-1</v>
      </c>
      <c r="J362">
        <v>-1</v>
      </c>
      <c r="K362">
        <v>-1</v>
      </c>
      <c r="L362">
        <v>-1</v>
      </c>
      <c r="M362">
        <v>-1</v>
      </c>
      <c r="N362">
        <v>-1</v>
      </c>
      <c r="O362">
        <v>-1</v>
      </c>
    </row>
    <row r="363" spans="1:15" ht="409.6" x14ac:dyDescent="0.3">
      <c r="A363">
        <v>361</v>
      </c>
      <c r="B363" t="s">
        <v>26</v>
      </c>
      <c r="C363" t="s">
        <v>1078</v>
      </c>
      <c r="D363" s="1" t="s">
        <v>1108</v>
      </c>
      <c r="E363">
        <v>-1</v>
      </c>
      <c r="F363" t="s">
        <v>1109</v>
      </c>
      <c r="G363" t="s">
        <v>143</v>
      </c>
      <c r="H363">
        <v>-1</v>
      </c>
      <c r="I363">
        <v>-1</v>
      </c>
      <c r="J363">
        <v>-1</v>
      </c>
      <c r="K363">
        <v>-1</v>
      </c>
      <c r="L363">
        <v>-1</v>
      </c>
      <c r="M363">
        <v>-1</v>
      </c>
      <c r="N363">
        <v>-1</v>
      </c>
      <c r="O363">
        <v>-1</v>
      </c>
    </row>
    <row r="364" spans="1:15" ht="409.6" x14ac:dyDescent="0.3">
      <c r="A364">
        <v>362</v>
      </c>
      <c r="B364" t="s">
        <v>26</v>
      </c>
      <c r="C364" t="s">
        <v>1078</v>
      </c>
      <c r="D364" s="1" t="s">
        <v>1108</v>
      </c>
      <c r="E364">
        <v>-1</v>
      </c>
      <c r="F364" t="s">
        <v>1109</v>
      </c>
      <c r="G364" t="s">
        <v>143</v>
      </c>
      <c r="H364">
        <v>-1</v>
      </c>
      <c r="I364">
        <v>-1</v>
      </c>
      <c r="J364">
        <v>-1</v>
      </c>
      <c r="K364">
        <v>-1</v>
      </c>
      <c r="L364">
        <v>-1</v>
      </c>
      <c r="M364">
        <v>-1</v>
      </c>
      <c r="N364">
        <v>-1</v>
      </c>
      <c r="O364">
        <v>-1</v>
      </c>
    </row>
    <row r="365" spans="1:15" ht="409.6" x14ac:dyDescent="0.3">
      <c r="A365">
        <v>363</v>
      </c>
      <c r="B365" t="s">
        <v>240</v>
      </c>
      <c r="C365" t="s">
        <v>1078</v>
      </c>
      <c r="D365" s="1" t="s">
        <v>752</v>
      </c>
      <c r="E365">
        <v>3.5</v>
      </c>
      <c r="F365" s="1" t="s">
        <v>472</v>
      </c>
      <c r="G365" t="s">
        <v>30</v>
      </c>
      <c r="H365" t="s">
        <v>473</v>
      </c>
      <c r="I365" t="s">
        <v>31</v>
      </c>
      <c r="J365">
        <v>-1</v>
      </c>
      <c r="K365" t="s">
        <v>32</v>
      </c>
      <c r="L365" t="s">
        <v>175</v>
      </c>
      <c r="M365" t="s">
        <v>175</v>
      </c>
      <c r="N365" t="s">
        <v>79</v>
      </c>
      <c r="O365">
        <v>-1</v>
      </c>
    </row>
    <row r="366" spans="1:15" ht="409.6" x14ac:dyDescent="0.3">
      <c r="A366">
        <v>364</v>
      </c>
      <c r="B366" t="s">
        <v>26</v>
      </c>
      <c r="C366" t="s">
        <v>1110</v>
      </c>
      <c r="D366" s="1" t="s">
        <v>248</v>
      </c>
      <c r="E366">
        <v>4.3</v>
      </c>
      <c r="F366" s="1" t="s">
        <v>249</v>
      </c>
      <c r="G366" t="s">
        <v>64</v>
      </c>
      <c r="H366" t="s">
        <v>64</v>
      </c>
      <c r="I366" t="s">
        <v>107</v>
      </c>
      <c r="J366">
        <v>1999</v>
      </c>
      <c r="K366" t="s">
        <v>53</v>
      </c>
      <c r="L366" t="s">
        <v>84</v>
      </c>
      <c r="M366" t="s">
        <v>60</v>
      </c>
      <c r="N366" t="s">
        <v>24</v>
      </c>
      <c r="O366">
        <v>-1</v>
      </c>
    </row>
    <row r="367" spans="1:15" ht="409.6" x14ac:dyDescent="0.3">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ht="409.6" x14ac:dyDescent="0.3">
      <c r="A368">
        <v>366</v>
      </c>
      <c r="B368" t="s">
        <v>26</v>
      </c>
      <c r="C368" t="s">
        <v>1110</v>
      </c>
      <c r="D368" s="1" t="s">
        <v>1111</v>
      </c>
      <c r="E368">
        <v>3.5</v>
      </c>
      <c r="F368" s="1" t="s">
        <v>472</v>
      </c>
      <c r="G368" t="s">
        <v>30</v>
      </c>
      <c r="H368" t="s">
        <v>473</v>
      </c>
      <c r="I368" t="s">
        <v>31</v>
      </c>
      <c r="J368">
        <v>-1</v>
      </c>
      <c r="K368" t="s">
        <v>32</v>
      </c>
      <c r="L368" t="s">
        <v>175</v>
      </c>
      <c r="M368" t="s">
        <v>175</v>
      </c>
      <c r="N368" t="s">
        <v>79</v>
      </c>
      <c r="O368">
        <v>-1</v>
      </c>
    </row>
    <row r="369" spans="1:15" ht="409.6" x14ac:dyDescent="0.3">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ht="409.6" x14ac:dyDescent="0.3">
      <c r="A370">
        <v>368</v>
      </c>
      <c r="B370" t="s">
        <v>26</v>
      </c>
      <c r="C370" t="s">
        <v>1110</v>
      </c>
      <c r="D370" s="1" t="s">
        <v>1112</v>
      </c>
      <c r="E370">
        <v>4.7</v>
      </c>
      <c r="F370" s="1" t="s">
        <v>1113</v>
      </c>
      <c r="G370" t="s">
        <v>1114</v>
      </c>
      <c r="H370" t="s">
        <v>1115</v>
      </c>
      <c r="I370" t="s">
        <v>52</v>
      </c>
      <c r="J370">
        <v>2008</v>
      </c>
      <c r="K370" t="s">
        <v>53</v>
      </c>
      <c r="L370" t="s">
        <v>40</v>
      </c>
      <c r="M370" t="s">
        <v>34</v>
      </c>
      <c r="N370" t="s">
        <v>24</v>
      </c>
      <c r="O370">
        <v>-1</v>
      </c>
    </row>
    <row r="371" spans="1:15" ht="409.6" x14ac:dyDescent="0.3">
      <c r="A371">
        <v>369</v>
      </c>
      <c r="B371" t="s">
        <v>756</v>
      </c>
      <c r="C371" t="s">
        <v>1110</v>
      </c>
      <c r="D371" s="1" t="s">
        <v>394</v>
      </c>
      <c r="E371">
        <v>4.8</v>
      </c>
      <c r="F371" s="1" t="s">
        <v>242</v>
      </c>
      <c r="G371" t="s">
        <v>38</v>
      </c>
      <c r="H371" t="s">
        <v>38</v>
      </c>
      <c r="I371" t="s">
        <v>107</v>
      </c>
      <c r="J371">
        <v>2012</v>
      </c>
      <c r="K371" t="s">
        <v>53</v>
      </c>
      <c r="L371" t="s">
        <v>59</v>
      </c>
      <c r="M371" t="s">
        <v>60</v>
      </c>
      <c r="N371" t="s">
        <v>24</v>
      </c>
      <c r="O371">
        <v>-1</v>
      </c>
    </row>
    <row r="372" spans="1:15" ht="409.6" x14ac:dyDescent="0.3">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ht="43.2" x14ac:dyDescent="0.3">
      <c r="A373">
        <v>371</v>
      </c>
      <c r="B373" t="s">
        <v>26</v>
      </c>
      <c r="C373" t="s">
        <v>1110</v>
      </c>
      <c r="D373" t="s">
        <v>1116</v>
      </c>
      <c r="E373">
        <v>4.4000000000000004</v>
      </c>
      <c r="F373" s="1" t="s">
        <v>1117</v>
      </c>
      <c r="G373" t="s">
        <v>1118</v>
      </c>
      <c r="H373" t="s">
        <v>1119</v>
      </c>
      <c r="I373" t="s">
        <v>52</v>
      </c>
      <c r="J373">
        <v>-1</v>
      </c>
      <c r="K373" t="s">
        <v>53</v>
      </c>
      <c r="L373">
        <v>-1</v>
      </c>
      <c r="M373">
        <v>-1</v>
      </c>
      <c r="N373" t="s">
        <v>24</v>
      </c>
      <c r="O373">
        <v>-1</v>
      </c>
    </row>
    <row r="374" spans="1:15" ht="409.6" x14ac:dyDescent="0.3">
      <c r="A374">
        <v>372</v>
      </c>
      <c r="B374" t="s">
        <v>26</v>
      </c>
      <c r="C374" t="s">
        <v>1110</v>
      </c>
      <c r="D374" s="1" t="s">
        <v>1120</v>
      </c>
      <c r="E374">
        <v>3.2</v>
      </c>
      <c r="F374" s="1" t="s">
        <v>1121</v>
      </c>
      <c r="G374" t="s">
        <v>1122</v>
      </c>
      <c r="H374" t="s">
        <v>29</v>
      </c>
      <c r="I374" t="s">
        <v>66</v>
      </c>
      <c r="J374">
        <v>2018</v>
      </c>
      <c r="K374" t="s">
        <v>32</v>
      </c>
      <c r="L374" t="s">
        <v>175</v>
      </c>
      <c r="M374" t="s">
        <v>175</v>
      </c>
      <c r="N374" t="s">
        <v>24</v>
      </c>
      <c r="O374">
        <v>-1</v>
      </c>
    </row>
    <row r="375" spans="1:15" ht="409.6" x14ac:dyDescent="0.3">
      <c r="A375">
        <v>373</v>
      </c>
      <c r="B375" t="s">
        <v>26</v>
      </c>
      <c r="C375" t="s">
        <v>1110</v>
      </c>
      <c r="D375" s="1" t="s">
        <v>1123</v>
      </c>
      <c r="E375">
        <v>4.5</v>
      </c>
      <c r="F375" s="1" t="s">
        <v>1124</v>
      </c>
      <c r="G375" t="s">
        <v>111</v>
      </c>
      <c r="H375" t="s">
        <v>1125</v>
      </c>
      <c r="I375" t="s">
        <v>117</v>
      </c>
      <c r="J375">
        <v>1980</v>
      </c>
      <c r="K375" t="s">
        <v>53</v>
      </c>
      <c r="L375" t="s">
        <v>286</v>
      </c>
      <c r="M375" t="s">
        <v>34</v>
      </c>
      <c r="N375" t="s">
        <v>24</v>
      </c>
      <c r="O375" t="s">
        <v>1126</v>
      </c>
    </row>
    <row r="376" spans="1:15" ht="409.6" x14ac:dyDescent="0.3">
      <c r="A376">
        <v>374</v>
      </c>
      <c r="B376" t="s">
        <v>1127</v>
      </c>
      <c r="C376" t="s">
        <v>1110</v>
      </c>
      <c r="D376" s="1" t="s">
        <v>1128</v>
      </c>
      <c r="E376">
        <v>3.5</v>
      </c>
      <c r="F376" s="1" t="s">
        <v>1129</v>
      </c>
      <c r="G376" t="s">
        <v>193</v>
      </c>
      <c r="H376" t="s">
        <v>193</v>
      </c>
      <c r="I376" t="s">
        <v>107</v>
      </c>
      <c r="J376">
        <v>2003</v>
      </c>
      <c r="K376" t="s">
        <v>21</v>
      </c>
      <c r="L376" t="s">
        <v>33</v>
      </c>
      <c r="M376" t="s">
        <v>34</v>
      </c>
      <c r="N376" t="s">
        <v>41</v>
      </c>
      <c r="O376">
        <v>-1</v>
      </c>
    </row>
    <row r="377" spans="1:15" ht="43.2" x14ac:dyDescent="0.3">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ht="409.6" x14ac:dyDescent="0.3">
      <c r="A378">
        <v>376</v>
      </c>
      <c r="B378" t="s">
        <v>26</v>
      </c>
      <c r="C378" t="s">
        <v>1110</v>
      </c>
      <c r="D378" s="1" t="s">
        <v>1134</v>
      </c>
      <c r="E378">
        <v>3.1</v>
      </c>
      <c r="F378" s="1" t="s">
        <v>1135</v>
      </c>
      <c r="G378" t="s">
        <v>511</v>
      </c>
      <c r="H378" t="s">
        <v>869</v>
      </c>
      <c r="I378" t="s">
        <v>117</v>
      </c>
      <c r="J378">
        <v>2001</v>
      </c>
      <c r="K378" t="s">
        <v>53</v>
      </c>
      <c r="L378" t="s">
        <v>286</v>
      </c>
      <c r="M378" t="s">
        <v>34</v>
      </c>
      <c r="N378" t="s">
        <v>212</v>
      </c>
      <c r="O378">
        <v>-1</v>
      </c>
    </row>
    <row r="379" spans="1:15" ht="409.6" x14ac:dyDescent="0.3">
      <c r="A379">
        <v>377</v>
      </c>
      <c r="B379" t="s">
        <v>1136</v>
      </c>
      <c r="C379" t="s">
        <v>1110</v>
      </c>
      <c r="D379" s="1" t="s">
        <v>1137</v>
      </c>
      <c r="E379">
        <v>3.5</v>
      </c>
      <c r="F379" s="1" t="s">
        <v>1138</v>
      </c>
      <c r="G379" t="s">
        <v>420</v>
      </c>
      <c r="H379" t="s">
        <v>420</v>
      </c>
      <c r="I379" t="s">
        <v>107</v>
      </c>
      <c r="J379">
        <v>2011</v>
      </c>
      <c r="K379" t="s">
        <v>53</v>
      </c>
      <c r="L379" t="s">
        <v>1139</v>
      </c>
      <c r="M379" t="s">
        <v>968</v>
      </c>
      <c r="N379" t="s">
        <v>24</v>
      </c>
      <c r="O379">
        <v>-1</v>
      </c>
    </row>
    <row r="380" spans="1:15" ht="43.2" x14ac:dyDescent="0.3">
      <c r="A380">
        <v>378</v>
      </c>
      <c r="B380" t="s">
        <v>26</v>
      </c>
      <c r="C380" t="s">
        <v>1110</v>
      </c>
      <c r="D380" t="s">
        <v>1140</v>
      </c>
      <c r="E380">
        <v>3.8</v>
      </c>
      <c r="F380" s="1" t="s">
        <v>1141</v>
      </c>
      <c r="G380" t="s">
        <v>1114</v>
      </c>
      <c r="H380" t="s">
        <v>1142</v>
      </c>
      <c r="I380" t="s">
        <v>20</v>
      </c>
      <c r="J380">
        <v>1999</v>
      </c>
      <c r="K380" t="s">
        <v>53</v>
      </c>
      <c r="L380" t="s">
        <v>92</v>
      </c>
      <c r="M380" t="s">
        <v>60</v>
      </c>
      <c r="N380" t="s">
        <v>194</v>
      </c>
      <c r="O380">
        <v>-1</v>
      </c>
    </row>
    <row r="381" spans="1:15" ht="409.6" x14ac:dyDescent="0.3">
      <c r="A381">
        <v>379</v>
      </c>
      <c r="B381" t="s">
        <v>26</v>
      </c>
      <c r="C381" t="s">
        <v>1110</v>
      </c>
      <c r="D381" s="1" t="s">
        <v>1143</v>
      </c>
      <c r="E381">
        <v>3.7</v>
      </c>
      <c r="F381" s="1" t="s">
        <v>1144</v>
      </c>
      <c r="G381" t="s">
        <v>178</v>
      </c>
      <c r="H381" t="s">
        <v>1036</v>
      </c>
      <c r="I381" t="s">
        <v>31</v>
      </c>
      <c r="J381">
        <v>1908</v>
      </c>
      <c r="K381" t="s">
        <v>301</v>
      </c>
      <c r="L381" t="s">
        <v>99</v>
      </c>
      <c r="M381" t="s">
        <v>100</v>
      </c>
      <c r="N381" t="s">
        <v>24</v>
      </c>
      <c r="O381" t="s">
        <v>1145</v>
      </c>
    </row>
    <row r="382" spans="1:15" ht="409.6" x14ac:dyDescent="0.3">
      <c r="A382">
        <v>380</v>
      </c>
      <c r="B382" t="s">
        <v>769</v>
      </c>
      <c r="C382" t="s">
        <v>1110</v>
      </c>
      <c r="D382" s="1" t="s">
        <v>770</v>
      </c>
      <c r="E382">
        <v>3.5</v>
      </c>
      <c r="F382" s="1" t="s">
        <v>771</v>
      </c>
      <c r="G382" t="s">
        <v>772</v>
      </c>
      <c r="H382" t="s">
        <v>772</v>
      </c>
      <c r="I382" t="s">
        <v>46</v>
      </c>
      <c r="J382">
        <v>1996</v>
      </c>
      <c r="K382" t="s">
        <v>21</v>
      </c>
      <c r="L382" t="s">
        <v>139</v>
      </c>
      <c r="M382" t="s">
        <v>140</v>
      </c>
      <c r="N382" t="s">
        <v>101</v>
      </c>
      <c r="O382">
        <v>-1</v>
      </c>
    </row>
    <row r="383" spans="1:15" ht="409.6" x14ac:dyDescent="0.3">
      <c r="A383">
        <v>381</v>
      </c>
      <c r="B383" t="s">
        <v>773</v>
      </c>
      <c r="C383" t="s">
        <v>1110</v>
      </c>
      <c r="D383" s="1" t="s">
        <v>774</v>
      </c>
      <c r="E383">
        <v>3.7</v>
      </c>
      <c r="F383" s="1" t="s">
        <v>670</v>
      </c>
      <c r="G383" t="s">
        <v>38</v>
      </c>
      <c r="H383" t="s">
        <v>671</v>
      </c>
      <c r="I383" t="s">
        <v>31</v>
      </c>
      <c r="J383">
        <v>1851</v>
      </c>
      <c r="K383" t="s">
        <v>53</v>
      </c>
      <c r="L383" t="s">
        <v>22</v>
      </c>
      <c r="M383" t="s">
        <v>23</v>
      </c>
      <c r="N383" t="s">
        <v>68</v>
      </c>
      <c r="O383">
        <v>-1</v>
      </c>
    </row>
    <row r="384" spans="1:15" ht="57.6" x14ac:dyDescent="0.3">
      <c r="A384">
        <v>382</v>
      </c>
      <c r="B384" t="s">
        <v>1146</v>
      </c>
      <c r="C384" t="s">
        <v>1110</v>
      </c>
      <c r="D384" t="s">
        <v>1147</v>
      </c>
      <c r="E384">
        <v>5</v>
      </c>
      <c r="F384" s="1" t="s">
        <v>1148</v>
      </c>
      <c r="G384" t="s">
        <v>38</v>
      </c>
      <c r="H384" t="s">
        <v>382</v>
      </c>
      <c r="I384" t="s">
        <v>117</v>
      </c>
      <c r="J384">
        <v>2003</v>
      </c>
      <c r="K384" t="s">
        <v>1149</v>
      </c>
      <c r="L384" t="s">
        <v>59</v>
      </c>
      <c r="M384" t="s">
        <v>60</v>
      </c>
      <c r="N384" t="s">
        <v>24</v>
      </c>
      <c r="O384">
        <v>-1</v>
      </c>
    </row>
    <row r="385" spans="1:15" ht="409.6" x14ac:dyDescent="0.3">
      <c r="A385">
        <v>383</v>
      </c>
      <c r="B385" t="s">
        <v>1150</v>
      </c>
      <c r="C385" t="s">
        <v>1110</v>
      </c>
      <c r="D385" s="1" t="s">
        <v>1151</v>
      </c>
      <c r="E385">
        <v>4</v>
      </c>
      <c r="F385" s="1" t="s">
        <v>1152</v>
      </c>
      <c r="G385" t="s">
        <v>357</v>
      </c>
      <c r="H385" t="s">
        <v>357</v>
      </c>
      <c r="I385" t="s">
        <v>66</v>
      </c>
      <c r="J385">
        <v>1853</v>
      </c>
      <c r="K385" t="s">
        <v>32</v>
      </c>
      <c r="L385" t="s">
        <v>22</v>
      </c>
      <c r="M385" t="s">
        <v>23</v>
      </c>
      <c r="N385" t="s">
        <v>68</v>
      </c>
      <c r="O385">
        <v>-1</v>
      </c>
    </row>
    <row r="386" spans="1:15" ht="409.6" x14ac:dyDescent="0.3">
      <c r="A386">
        <v>384</v>
      </c>
      <c r="B386" t="s">
        <v>1153</v>
      </c>
      <c r="C386" t="s">
        <v>1110</v>
      </c>
      <c r="D386" s="1" t="s">
        <v>1154</v>
      </c>
      <c r="E386">
        <v>3.6</v>
      </c>
      <c r="F386" s="1" t="s">
        <v>1155</v>
      </c>
      <c r="G386" t="s">
        <v>143</v>
      </c>
      <c r="H386" t="s">
        <v>143</v>
      </c>
      <c r="I386" t="s">
        <v>20</v>
      </c>
      <c r="J386">
        <v>2011</v>
      </c>
      <c r="K386" t="s">
        <v>301</v>
      </c>
      <c r="L386" t="s">
        <v>123</v>
      </c>
      <c r="M386" t="s">
        <v>60</v>
      </c>
      <c r="N386" t="s">
        <v>24</v>
      </c>
      <c r="O386">
        <v>-1</v>
      </c>
    </row>
    <row r="387" spans="1:15" ht="409.6" x14ac:dyDescent="0.3">
      <c r="A387">
        <v>385</v>
      </c>
      <c r="B387" t="s">
        <v>240</v>
      </c>
      <c r="C387" t="s">
        <v>1156</v>
      </c>
      <c r="D387" s="1" t="s">
        <v>241</v>
      </c>
      <c r="E387">
        <v>4.8</v>
      </c>
      <c r="F387" s="1" t="s">
        <v>242</v>
      </c>
      <c r="G387" t="s">
        <v>38</v>
      </c>
      <c r="H387" t="s">
        <v>38</v>
      </c>
      <c r="I387" t="s">
        <v>107</v>
      </c>
      <c r="J387">
        <v>2012</v>
      </c>
      <c r="K387" t="s">
        <v>53</v>
      </c>
      <c r="L387" t="s">
        <v>59</v>
      </c>
      <c r="M387" t="s">
        <v>60</v>
      </c>
      <c r="N387" t="s">
        <v>24</v>
      </c>
      <c r="O387">
        <v>-1</v>
      </c>
    </row>
    <row r="388" spans="1:15" ht="409.6" x14ac:dyDescent="0.3">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ht="409.6" x14ac:dyDescent="0.3">
      <c r="A389">
        <v>387</v>
      </c>
      <c r="B389" t="s">
        <v>1159</v>
      </c>
      <c r="C389" t="s">
        <v>1156</v>
      </c>
      <c r="D389" s="1" t="s">
        <v>1160</v>
      </c>
      <c r="E389">
        <v>3.6</v>
      </c>
      <c r="F389" s="1" t="s">
        <v>1161</v>
      </c>
      <c r="G389" t="s">
        <v>64</v>
      </c>
      <c r="H389" t="s">
        <v>64</v>
      </c>
      <c r="I389" t="s">
        <v>31</v>
      </c>
      <c r="J389">
        <v>1978</v>
      </c>
      <c r="K389" t="s">
        <v>32</v>
      </c>
      <c r="L389" t="s">
        <v>67</v>
      </c>
      <c r="M389" t="s">
        <v>67</v>
      </c>
      <c r="N389" t="s">
        <v>68</v>
      </c>
      <c r="O389">
        <v>-1</v>
      </c>
    </row>
    <row r="390" spans="1:15" ht="409.6" x14ac:dyDescent="0.3">
      <c r="A390">
        <v>388</v>
      </c>
      <c r="B390" t="s">
        <v>26</v>
      </c>
      <c r="C390" t="s">
        <v>1156</v>
      </c>
      <c r="D390" s="1" t="s">
        <v>1162</v>
      </c>
      <c r="E390">
        <v>-1</v>
      </c>
      <c r="F390" t="s">
        <v>1163</v>
      </c>
      <c r="G390" t="s">
        <v>143</v>
      </c>
      <c r="H390">
        <v>-1</v>
      </c>
      <c r="I390">
        <v>-1</v>
      </c>
      <c r="J390">
        <v>-1</v>
      </c>
      <c r="K390">
        <v>-1</v>
      </c>
      <c r="L390">
        <v>-1</v>
      </c>
      <c r="M390">
        <v>-1</v>
      </c>
      <c r="N390">
        <v>-1</v>
      </c>
      <c r="O390">
        <v>-1</v>
      </c>
    </row>
    <row r="391" spans="1:15" ht="409.6" x14ac:dyDescent="0.3">
      <c r="A391">
        <v>389</v>
      </c>
      <c r="B391" t="s">
        <v>26</v>
      </c>
      <c r="C391" t="s">
        <v>1156</v>
      </c>
      <c r="D391" s="1" t="s">
        <v>1162</v>
      </c>
      <c r="E391">
        <v>-1</v>
      </c>
      <c r="F391" t="s">
        <v>1163</v>
      </c>
      <c r="G391" t="s">
        <v>143</v>
      </c>
      <c r="H391">
        <v>-1</v>
      </c>
      <c r="I391">
        <v>-1</v>
      </c>
      <c r="J391">
        <v>-1</v>
      </c>
      <c r="K391">
        <v>-1</v>
      </c>
      <c r="L391">
        <v>-1</v>
      </c>
      <c r="M391">
        <v>-1</v>
      </c>
      <c r="N391">
        <v>-1</v>
      </c>
      <c r="O391">
        <v>-1</v>
      </c>
    </row>
    <row r="392" spans="1:15" ht="409.6" x14ac:dyDescent="0.3">
      <c r="A392">
        <v>390</v>
      </c>
      <c r="B392" t="s">
        <v>775</v>
      </c>
      <c r="C392" t="s">
        <v>1156</v>
      </c>
      <c r="D392" s="1" t="s">
        <v>776</v>
      </c>
      <c r="E392">
        <v>3.3</v>
      </c>
      <c r="F392" s="1" t="s">
        <v>315</v>
      </c>
      <c r="G392" t="s">
        <v>328</v>
      </c>
      <c r="H392" t="s">
        <v>83</v>
      </c>
      <c r="I392" t="s">
        <v>46</v>
      </c>
      <c r="J392">
        <v>2015</v>
      </c>
      <c r="K392" t="s">
        <v>53</v>
      </c>
      <c r="L392" t="s">
        <v>67</v>
      </c>
      <c r="M392" t="s">
        <v>67</v>
      </c>
      <c r="N392" t="s">
        <v>24</v>
      </c>
      <c r="O392">
        <v>-1</v>
      </c>
    </row>
    <row r="393" spans="1:15" ht="409.6" x14ac:dyDescent="0.3">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ht="409.6" x14ac:dyDescent="0.3">
      <c r="A394">
        <v>392</v>
      </c>
      <c r="B394" t="s">
        <v>1169</v>
      </c>
      <c r="C394" t="s">
        <v>1156</v>
      </c>
      <c r="D394" s="1" t="s">
        <v>1170</v>
      </c>
      <c r="E394">
        <v>3.6</v>
      </c>
      <c r="F394" s="1" t="s">
        <v>1171</v>
      </c>
      <c r="G394" t="s">
        <v>1172</v>
      </c>
      <c r="H394" t="s">
        <v>112</v>
      </c>
      <c r="I394" t="s">
        <v>20</v>
      </c>
      <c r="J394">
        <v>-1</v>
      </c>
      <c r="K394" t="s">
        <v>53</v>
      </c>
      <c r="L394" t="s">
        <v>67</v>
      </c>
      <c r="M394" t="s">
        <v>67</v>
      </c>
      <c r="N394" t="s">
        <v>41</v>
      </c>
      <c r="O394">
        <v>-1</v>
      </c>
    </row>
    <row r="395" spans="1:15" ht="409.6" x14ac:dyDescent="0.3">
      <c r="A395">
        <v>393</v>
      </c>
      <c r="B395" t="s">
        <v>189</v>
      </c>
      <c r="C395" t="s">
        <v>1156</v>
      </c>
      <c r="D395" s="1" t="s">
        <v>1173</v>
      </c>
      <c r="E395">
        <v>4.5</v>
      </c>
      <c r="F395" s="1" t="s">
        <v>177</v>
      </c>
      <c r="G395" t="s">
        <v>179</v>
      </c>
      <c r="H395" t="s">
        <v>179</v>
      </c>
      <c r="I395" t="s">
        <v>52</v>
      </c>
      <c r="J395">
        <v>2005</v>
      </c>
      <c r="K395" t="s">
        <v>53</v>
      </c>
      <c r="L395" t="s">
        <v>118</v>
      </c>
      <c r="M395" t="s">
        <v>98</v>
      </c>
      <c r="N395" t="s">
        <v>164</v>
      </c>
      <c r="O395">
        <v>-1</v>
      </c>
    </row>
    <row r="396" spans="1:15" ht="409.6" x14ac:dyDescent="0.3">
      <c r="A396">
        <v>394</v>
      </c>
      <c r="B396" t="s">
        <v>1174</v>
      </c>
      <c r="C396" t="s">
        <v>1156</v>
      </c>
      <c r="D396" s="1" t="s">
        <v>1175</v>
      </c>
      <c r="E396">
        <v>3.3</v>
      </c>
      <c r="F396" s="1" t="s">
        <v>315</v>
      </c>
      <c r="G396" t="s">
        <v>83</v>
      </c>
      <c r="H396" t="s">
        <v>83</v>
      </c>
      <c r="I396" t="s">
        <v>46</v>
      </c>
      <c r="J396">
        <v>2015</v>
      </c>
      <c r="K396" t="s">
        <v>53</v>
      </c>
      <c r="L396" t="s">
        <v>67</v>
      </c>
      <c r="M396" t="s">
        <v>67</v>
      </c>
      <c r="N396" t="s">
        <v>24</v>
      </c>
      <c r="O396">
        <v>-1</v>
      </c>
    </row>
    <row r="397" spans="1:15" ht="409.6" x14ac:dyDescent="0.3">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ht="86.4" x14ac:dyDescent="0.3">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ht="409.6" x14ac:dyDescent="0.3">
      <c r="A399">
        <v>397</v>
      </c>
      <c r="B399" t="s">
        <v>1181</v>
      </c>
      <c r="C399" t="s">
        <v>1156</v>
      </c>
      <c r="D399" s="1" t="s">
        <v>1182</v>
      </c>
      <c r="E399">
        <v>3.5</v>
      </c>
      <c r="F399" s="1" t="s">
        <v>472</v>
      </c>
      <c r="G399" t="s">
        <v>30</v>
      </c>
      <c r="H399" t="s">
        <v>473</v>
      </c>
      <c r="I399" t="s">
        <v>31</v>
      </c>
      <c r="J399">
        <v>-1</v>
      </c>
      <c r="K399" t="s">
        <v>32</v>
      </c>
      <c r="L399" t="s">
        <v>175</v>
      </c>
      <c r="M399" t="s">
        <v>175</v>
      </c>
      <c r="N399" t="s">
        <v>79</v>
      </c>
      <c r="O399">
        <v>-1</v>
      </c>
    </row>
    <row r="400" spans="1:15" ht="409.6" x14ac:dyDescent="0.3">
      <c r="A400">
        <v>398</v>
      </c>
      <c r="B400" t="s">
        <v>1183</v>
      </c>
      <c r="C400" t="s">
        <v>1156</v>
      </c>
      <c r="D400" s="1" t="s">
        <v>1184</v>
      </c>
      <c r="E400">
        <v>4</v>
      </c>
      <c r="F400" s="1" t="s">
        <v>1185</v>
      </c>
      <c r="G400" t="s">
        <v>1186</v>
      </c>
      <c r="H400" t="s">
        <v>1186</v>
      </c>
      <c r="I400" t="s">
        <v>20</v>
      </c>
      <c r="J400">
        <v>1974</v>
      </c>
      <c r="K400" t="s">
        <v>53</v>
      </c>
      <c r="L400" t="s">
        <v>175</v>
      </c>
      <c r="M400" t="s">
        <v>175</v>
      </c>
      <c r="N400" t="s">
        <v>41</v>
      </c>
      <c r="O400">
        <v>-1</v>
      </c>
    </row>
    <row r="401" spans="1:15" ht="409.6" x14ac:dyDescent="0.3">
      <c r="A401">
        <v>399</v>
      </c>
      <c r="B401" t="s">
        <v>1187</v>
      </c>
      <c r="C401" t="s">
        <v>1156</v>
      </c>
      <c r="D401" s="1" t="s">
        <v>1188</v>
      </c>
      <c r="E401">
        <v>4.5</v>
      </c>
      <c r="F401" s="1" t="s">
        <v>294</v>
      </c>
      <c r="G401" t="s">
        <v>295</v>
      </c>
      <c r="H401" t="s">
        <v>295</v>
      </c>
      <c r="I401" t="s">
        <v>107</v>
      </c>
      <c r="J401">
        <v>2010</v>
      </c>
      <c r="K401" t="s">
        <v>53</v>
      </c>
      <c r="L401" t="s">
        <v>175</v>
      </c>
      <c r="M401" t="s">
        <v>175</v>
      </c>
      <c r="N401" t="s">
        <v>41</v>
      </c>
      <c r="O401">
        <v>-1</v>
      </c>
    </row>
    <row r="402" spans="1:15" ht="409.6" x14ac:dyDescent="0.3">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ht="409.6" x14ac:dyDescent="0.3">
      <c r="A403">
        <v>401</v>
      </c>
      <c r="B403" t="s">
        <v>1190</v>
      </c>
      <c r="C403" t="s">
        <v>1156</v>
      </c>
      <c r="D403" s="1" t="s">
        <v>1191</v>
      </c>
      <c r="E403">
        <v>3.9</v>
      </c>
      <c r="F403" s="1" t="s">
        <v>1192</v>
      </c>
      <c r="G403" t="s">
        <v>1193</v>
      </c>
      <c r="H403" t="s">
        <v>263</v>
      </c>
      <c r="I403" t="s">
        <v>66</v>
      </c>
      <c r="J403">
        <v>1933</v>
      </c>
      <c r="K403" t="s">
        <v>425</v>
      </c>
      <c r="L403" t="s">
        <v>411</v>
      </c>
      <c r="M403" t="s">
        <v>170</v>
      </c>
      <c r="N403" t="s">
        <v>24</v>
      </c>
      <c r="O403">
        <v>-1</v>
      </c>
    </row>
    <row r="404" spans="1:15" ht="409.6" x14ac:dyDescent="0.3">
      <c r="A404">
        <v>402</v>
      </c>
      <c r="B404" t="s">
        <v>1194</v>
      </c>
      <c r="C404" t="s">
        <v>1156</v>
      </c>
      <c r="D404" s="1" t="s">
        <v>1195</v>
      </c>
      <c r="E404">
        <v>4</v>
      </c>
      <c r="F404" s="1" t="s">
        <v>1196</v>
      </c>
      <c r="G404" t="s">
        <v>1197</v>
      </c>
      <c r="H404" t="s">
        <v>1197</v>
      </c>
      <c r="I404" t="s">
        <v>20</v>
      </c>
      <c r="J404">
        <v>1995</v>
      </c>
      <c r="K404" t="s">
        <v>32</v>
      </c>
      <c r="L404" t="s">
        <v>139</v>
      </c>
      <c r="M404" t="s">
        <v>140</v>
      </c>
      <c r="N404" t="s">
        <v>41</v>
      </c>
      <c r="O404">
        <v>-1</v>
      </c>
    </row>
    <row r="405" spans="1:15" ht="409.6" x14ac:dyDescent="0.3">
      <c r="A405">
        <v>403</v>
      </c>
      <c r="B405" t="s">
        <v>1198</v>
      </c>
      <c r="C405" t="s">
        <v>1156</v>
      </c>
      <c r="D405" s="1" t="s">
        <v>1199</v>
      </c>
      <c r="E405">
        <v>3.6</v>
      </c>
      <c r="F405" s="1" t="s">
        <v>1200</v>
      </c>
      <c r="G405" t="s">
        <v>903</v>
      </c>
      <c r="H405" t="s">
        <v>1201</v>
      </c>
      <c r="I405" t="s">
        <v>107</v>
      </c>
      <c r="J405">
        <v>1994</v>
      </c>
      <c r="K405" t="s">
        <v>53</v>
      </c>
      <c r="L405" t="s">
        <v>139</v>
      </c>
      <c r="M405" t="s">
        <v>140</v>
      </c>
      <c r="N405" t="s">
        <v>101</v>
      </c>
      <c r="O405">
        <v>-1</v>
      </c>
    </row>
    <row r="406" spans="1:15" ht="409.6" x14ac:dyDescent="0.3">
      <c r="A406">
        <v>404</v>
      </c>
      <c r="B406" t="s">
        <v>1202</v>
      </c>
      <c r="C406" t="s">
        <v>1156</v>
      </c>
      <c r="D406" s="1" t="s">
        <v>1203</v>
      </c>
      <c r="E406">
        <v>3.3</v>
      </c>
      <c r="F406" s="1" t="s">
        <v>1204</v>
      </c>
      <c r="G406" t="s">
        <v>1205</v>
      </c>
      <c r="H406" t="s">
        <v>1205</v>
      </c>
      <c r="I406" t="s">
        <v>31</v>
      </c>
      <c r="J406">
        <v>1875</v>
      </c>
      <c r="K406" t="s">
        <v>53</v>
      </c>
      <c r="L406" t="s">
        <v>302</v>
      </c>
      <c r="M406" t="s">
        <v>48</v>
      </c>
      <c r="N406" t="s">
        <v>68</v>
      </c>
      <c r="O406">
        <v>-1</v>
      </c>
    </row>
    <row r="407" spans="1:15" ht="409.6" x14ac:dyDescent="0.3">
      <c r="A407">
        <v>405</v>
      </c>
      <c r="B407" t="s">
        <v>1206</v>
      </c>
      <c r="C407" t="s">
        <v>1156</v>
      </c>
      <c r="D407" s="1" t="s">
        <v>1207</v>
      </c>
      <c r="E407">
        <v>5</v>
      </c>
      <c r="F407" s="1" t="s">
        <v>1208</v>
      </c>
      <c r="G407" t="s">
        <v>1036</v>
      </c>
      <c r="H407" t="s">
        <v>453</v>
      </c>
      <c r="I407" t="s">
        <v>52</v>
      </c>
      <c r="J407">
        <v>2016</v>
      </c>
      <c r="K407" t="s">
        <v>53</v>
      </c>
      <c r="L407" t="s">
        <v>84</v>
      </c>
      <c r="M407" t="s">
        <v>60</v>
      </c>
      <c r="N407" t="s">
        <v>24</v>
      </c>
      <c r="O407">
        <v>-1</v>
      </c>
    </row>
    <row r="408" spans="1:15" ht="409.6" x14ac:dyDescent="0.3">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ht="409.6" x14ac:dyDescent="0.3">
      <c r="A409">
        <v>407</v>
      </c>
      <c r="B409" t="s">
        <v>26</v>
      </c>
      <c r="C409" t="s">
        <v>1209</v>
      </c>
      <c r="D409" s="1" t="s">
        <v>278</v>
      </c>
      <c r="E409">
        <v>3.2</v>
      </c>
      <c r="F409" s="1" t="s">
        <v>279</v>
      </c>
      <c r="G409" t="s">
        <v>143</v>
      </c>
      <c r="H409" t="s">
        <v>143</v>
      </c>
      <c r="I409" t="s">
        <v>20</v>
      </c>
      <c r="J409">
        <v>2011</v>
      </c>
      <c r="K409" t="s">
        <v>53</v>
      </c>
      <c r="L409" t="s">
        <v>280</v>
      </c>
      <c r="M409" t="s">
        <v>281</v>
      </c>
      <c r="N409" t="s">
        <v>24</v>
      </c>
      <c r="O409" t="s">
        <v>282</v>
      </c>
    </row>
    <row r="410" spans="1:15" ht="409.6" x14ac:dyDescent="0.3">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v>-1</v>
      </c>
    </row>
    <row r="411" spans="1:15" ht="409.6" x14ac:dyDescent="0.3">
      <c r="A411">
        <v>409</v>
      </c>
      <c r="B411" t="s">
        <v>26</v>
      </c>
      <c r="C411" t="s">
        <v>1209</v>
      </c>
      <c r="D411" s="1" t="s">
        <v>1212</v>
      </c>
      <c r="E411">
        <v>-1</v>
      </c>
      <c r="F411" t="s">
        <v>1213</v>
      </c>
      <c r="G411" t="s">
        <v>438</v>
      </c>
      <c r="H411" t="s">
        <v>1214</v>
      </c>
      <c r="I411" t="s">
        <v>688</v>
      </c>
      <c r="J411">
        <v>-1</v>
      </c>
      <c r="K411" t="s">
        <v>688</v>
      </c>
      <c r="L411">
        <v>-1</v>
      </c>
      <c r="M411">
        <v>-1</v>
      </c>
      <c r="N411" t="s">
        <v>24</v>
      </c>
      <c r="O411">
        <v>-1</v>
      </c>
    </row>
    <row r="412" spans="1:15" ht="409.6" x14ac:dyDescent="0.3">
      <c r="A412">
        <v>410</v>
      </c>
      <c r="B412" t="s">
        <v>26</v>
      </c>
      <c r="C412" t="s">
        <v>1209</v>
      </c>
      <c r="D412" s="1" t="s">
        <v>1215</v>
      </c>
      <c r="E412">
        <v>3.3</v>
      </c>
      <c r="F412" s="1" t="s">
        <v>1216</v>
      </c>
      <c r="G412" t="s">
        <v>38</v>
      </c>
      <c r="H412" t="s">
        <v>38</v>
      </c>
      <c r="I412" t="s">
        <v>107</v>
      </c>
      <c r="J412">
        <v>2018</v>
      </c>
      <c r="K412" t="s">
        <v>53</v>
      </c>
      <c r="L412" t="s">
        <v>67</v>
      </c>
      <c r="M412" t="s">
        <v>67</v>
      </c>
      <c r="N412" t="s">
        <v>24</v>
      </c>
      <c r="O412">
        <v>-1</v>
      </c>
    </row>
    <row r="413" spans="1:15" ht="409.6" x14ac:dyDescent="0.3">
      <c r="A413">
        <v>411</v>
      </c>
      <c r="B413" t="s">
        <v>26</v>
      </c>
      <c r="C413" t="s">
        <v>1209</v>
      </c>
      <c r="D413" s="1" t="s">
        <v>1217</v>
      </c>
      <c r="E413">
        <v>-1</v>
      </c>
      <c r="F413" t="s">
        <v>1218</v>
      </c>
      <c r="G413" t="s">
        <v>1219</v>
      </c>
      <c r="H413" t="s">
        <v>1220</v>
      </c>
      <c r="I413" t="s">
        <v>117</v>
      </c>
      <c r="J413">
        <v>2005</v>
      </c>
      <c r="K413" t="s">
        <v>53</v>
      </c>
      <c r="L413" t="s">
        <v>92</v>
      </c>
      <c r="M413" t="s">
        <v>60</v>
      </c>
      <c r="N413" t="s">
        <v>24</v>
      </c>
      <c r="O413">
        <v>-1</v>
      </c>
    </row>
    <row r="414" spans="1:15" ht="409.6" x14ac:dyDescent="0.3">
      <c r="A414">
        <v>412</v>
      </c>
      <c r="B414" t="s">
        <v>26</v>
      </c>
      <c r="C414" t="s">
        <v>1209</v>
      </c>
      <c r="D414" s="1" t="s">
        <v>1221</v>
      </c>
      <c r="E414">
        <v>5</v>
      </c>
      <c r="F414" s="1" t="s">
        <v>1222</v>
      </c>
      <c r="G414" t="s">
        <v>511</v>
      </c>
      <c r="H414" t="s">
        <v>1033</v>
      </c>
      <c r="I414" t="s">
        <v>117</v>
      </c>
      <c r="J414">
        <v>-1</v>
      </c>
      <c r="K414" t="s">
        <v>53</v>
      </c>
      <c r="L414" t="s">
        <v>84</v>
      </c>
      <c r="M414" t="s">
        <v>60</v>
      </c>
      <c r="N414" t="s">
        <v>24</v>
      </c>
      <c r="O414">
        <v>-1</v>
      </c>
    </row>
    <row r="415" spans="1:15" ht="409.6" x14ac:dyDescent="0.3">
      <c r="A415">
        <v>413</v>
      </c>
      <c r="B415" t="s">
        <v>26</v>
      </c>
      <c r="C415" t="s">
        <v>1209</v>
      </c>
      <c r="D415" s="1" t="s">
        <v>1223</v>
      </c>
      <c r="E415">
        <v>3.4</v>
      </c>
      <c r="F415" s="1" t="s">
        <v>1224</v>
      </c>
      <c r="G415" t="s">
        <v>311</v>
      </c>
      <c r="H415" t="s">
        <v>1225</v>
      </c>
      <c r="I415" t="s">
        <v>117</v>
      </c>
      <c r="J415">
        <v>-1</v>
      </c>
      <c r="K415" t="s">
        <v>53</v>
      </c>
      <c r="L415" t="s">
        <v>54</v>
      </c>
      <c r="M415" t="s">
        <v>34</v>
      </c>
      <c r="N415" t="s">
        <v>212</v>
      </c>
      <c r="O415">
        <v>-1</v>
      </c>
    </row>
    <row r="416" spans="1:15" ht="409.6" x14ac:dyDescent="0.3">
      <c r="A416">
        <v>414</v>
      </c>
      <c r="B416" t="s">
        <v>26</v>
      </c>
      <c r="C416" t="s">
        <v>1209</v>
      </c>
      <c r="D416" s="1" t="s">
        <v>1226</v>
      </c>
      <c r="E416">
        <v>4.0999999999999996</v>
      </c>
      <c r="F416" s="1" t="s">
        <v>1227</v>
      </c>
      <c r="G416" t="s">
        <v>111</v>
      </c>
      <c r="H416" t="s">
        <v>1228</v>
      </c>
      <c r="I416" t="s">
        <v>117</v>
      </c>
      <c r="J416">
        <v>-1</v>
      </c>
      <c r="K416" t="s">
        <v>53</v>
      </c>
      <c r="L416" t="s">
        <v>40</v>
      </c>
      <c r="M416" t="s">
        <v>34</v>
      </c>
      <c r="N416" t="s">
        <v>212</v>
      </c>
      <c r="O416">
        <v>-1</v>
      </c>
    </row>
    <row r="417" spans="1:15" ht="409.6" x14ac:dyDescent="0.3">
      <c r="A417">
        <v>415</v>
      </c>
      <c r="B417" t="s">
        <v>26</v>
      </c>
      <c r="C417" t="s">
        <v>1209</v>
      </c>
      <c r="D417" s="1" t="s">
        <v>1229</v>
      </c>
      <c r="E417">
        <v>5</v>
      </c>
      <c r="F417" s="1" t="s">
        <v>1230</v>
      </c>
      <c r="G417" t="s">
        <v>402</v>
      </c>
      <c r="H417" t="s">
        <v>652</v>
      </c>
      <c r="I417" t="s">
        <v>52</v>
      </c>
      <c r="J417">
        <v>2014</v>
      </c>
      <c r="K417" t="s">
        <v>53</v>
      </c>
      <c r="L417" t="s">
        <v>175</v>
      </c>
      <c r="M417" t="s">
        <v>175</v>
      </c>
      <c r="N417" t="s">
        <v>160</v>
      </c>
      <c r="O417">
        <v>-1</v>
      </c>
    </row>
    <row r="418" spans="1:15" ht="409.6" x14ac:dyDescent="0.3">
      <c r="A418">
        <v>416</v>
      </c>
      <c r="B418" t="s">
        <v>26</v>
      </c>
      <c r="C418" t="s">
        <v>1209</v>
      </c>
      <c r="D418" s="1" t="s">
        <v>1231</v>
      </c>
      <c r="E418">
        <v>4.2</v>
      </c>
      <c r="F418" s="1" t="s">
        <v>1232</v>
      </c>
      <c r="G418" t="s">
        <v>151</v>
      </c>
      <c r="H418" t="s">
        <v>926</v>
      </c>
      <c r="I418" t="s">
        <v>107</v>
      </c>
      <c r="J418">
        <v>1999</v>
      </c>
      <c r="K418" t="s">
        <v>301</v>
      </c>
      <c r="L418" t="s">
        <v>286</v>
      </c>
      <c r="M418" t="s">
        <v>34</v>
      </c>
      <c r="N418" t="s">
        <v>41</v>
      </c>
      <c r="O418">
        <v>-1</v>
      </c>
    </row>
    <row r="419" spans="1:15" ht="409.6" x14ac:dyDescent="0.3">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ht="409.6" x14ac:dyDescent="0.3">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ht="409.6" x14ac:dyDescent="0.3">
      <c r="A421">
        <v>419</v>
      </c>
      <c r="B421" t="s">
        <v>26</v>
      </c>
      <c r="C421" t="s">
        <v>1209</v>
      </c>
      <c r="D421" s="1" t="s">
        <v>1241</v>
      </c>
      <c r="E421">
        <v>4.8</v>
      </c>
      <c r="F421" s="1" t="s">
        <v>1242</v>
      </c>
      <c r="G421" t="s">
        <v>699</v>
      </c>
      <c r="H421" t="s">
        <v>1243</v>
      </c>
      <c r="I421" t="s">
        <v>107</v>
      </c>
      <c r="J421">
        <v>2010</v>
      </c>
      <c r="K421" t="s">
        <v>53</v>
      </c>
      <c r="L421" t="s">
        <v>92</v>
      </c>
      <c r="M421" t="s">
        <v>60</v>
      </c>
      <c r="N421" t="s">
        <v>212</v>
      </c>
      <c r="O421">
        <v>-1</v>
      </c>
    </row>
    <row r="422" spans="1:15" ht="43.2" x14ac:dyDescent="0.3">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ht="409.6" x14ac:dyDescent="0.3">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v>-1</v>
      </c>
    </row>
    <row r="424" spans="1:15" ht="409.6" x14ac:dyDescent="0.3">
      <c r="A424">
        <v>422</v>
      </c>
      <c r="B424" t="s">
        <v>26</v>
      </c>
      <c r="C424" t="s">
        <v>1209</v>
      </c>
      <c r="D424" s="1" t="s">
        <v>1248</v>
      </c>
      <c r="E424">
        <v>4.5</v>
      </c>
      <c r="F424" s="1" t="s">
        <v>1249</v>
      </c>
      <c r="G424" t="s">
        <v>1250</v>
      </c>
      <c r="H424" t="s">
        <v>1251</v>
      </c>
      <c r="I424" t="s">
        <v>117</v>
      </c>
      <c r="J424">
        <v>-1</v>
      </c>
      <c r="K424" t="s">
        <v>53</v>
      </c>
      <c r="L424" t="s">
        <v>1252</v>
      </c>
      <c r="M424" t="s">
        <v>1253</v>
      </c>
      <c r="N424" t="s">
        <v>431</v>
      </c>
      <c r="O424">
        <v>-1</v>
      </c>
    </row>
    <row r="425" spans="1:15" ht="409.6" x14ac:dyDescent="0.3">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ht="409.6" x14ac:dyDescent="0.3">
      <c r="A426">
        <v>424</v>
      </c>
      <c r="B426" t="s">
        <v>26</v>
      </c>
      <c r="C426" t="s">
        <v>1209</v>
      </c>
      <c r="D426" s="1" t="s">
        <v>1254</v>
      </c>
      <c r="E426">
        <v>3.4</v>
      </c>
      <c r="F426" s="1" t="s">
        <v>1255</v>
      </c>
      <c r="G426" t="s">
        <v>1256</v>
      </c>
      <c r="H426">
        <v>-1</v>
      </c>
      <c r="I426" t="s">
        <v>688</v>
      </c>
      <c r="J426">
        <v>-1</v>
      </c>
      <c r="K426" t="s">
        <v>53</v>
      </c>
      <c r="L426">
        <v>-1</v>
      </c>
      <c r="M426">
        <v>-1</v>
      </c>
      <c r="N426" t="s">
        <v>24</v>
      </c>
      <c r="O426">
        <v>-1</v>
      </c>
    </row>
    <row r="427" spans="1:15" ht="409.6" x14ac:dyDescent="0.3">
      <c r="A427">
        <v>425</v>
      </c>
      <c r="B427" t="s">
        <v>26</v>
      </c>
      <c r="C427" t="s">
        <v>1209</v>
      </c>
      <c r="D427" s="1" t="s">
        <v>1015</v>
      </c>
      <c r="E427">
        <v>-1</v>
      </c>
      <c r="F427" t="s">
        <v>1016</v>
      </c>
      <c r="G427" t="s">
        <v>19</v>
      </c>
      <c r="H427" t="s">
        <v>112</v>
      </c>
      <c r="I427" t="s">
        <v>117</v>
      </c>
      <c r="J427">
        <v>-1</v>
      </c>
      <c r="K427" t="s">
        <v>53</v>
      </c>
      <c r="L427" t="s">
        <v>40</v>
      </c>
      <c r="M427" t="s">
        <v>34</v>
      </c>
      <c r="N427" t="s">
        <v>212</v>
      </c>
      <c r="O427">
        <v>-1</v>
      </c>
    </row>
    <row r="428" spans="1:15" ht="409.6" x14ac:dyDescent="0.3">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v>-1</v>
      </c>
    </row>
    <row r="429" spans="1:15" ht="409.6" x14ac:dyDescent="0.3">
      <c r="A429">
        <v>427</v>
      </c>
      <c r="B429" t="s">
        <v>26</v>
      </c>
      <c r="C429" t="s">
        <v>1257</v>
      </c>
      <c r="D429" s="1" t="s">
        <v>307</v>
      </c>
      <c r="E429">
        <v>3.7</v>
      </c>
      <c r="F429" s="1" t="s">
        <v>308</v>
      </c>
      <c r="G429" t="s">
        <v>19</v>
      </c>
      <c r="H429" t="s">
        <v>19</v>
      </c>
      <c r="I429" t="s">
        <v>46</v>
      </c>
      <c r="J429">
        <v>2012</v>
      </c>
      <c r="K429" t="s">
        <v>53</v>
      </c>
      <c r="L429" t="s">
        <v>123</v>
      </c>
      <c r="M429" t="s">
        <v>60</v>
      </c>
      <c r="N429" t="s">
        <v>24</v>
      </c>
      <c r="O429">
        <v>-1</v>
      </c>
    </row>
    <row r="430" spans="1:15" ht="409.6" x14ac:dyDescent="0.3">
      <c r="A430">
        <v>428</v>
      </c>
      <c r="B430" t="s">
        <v>240</v>
      </c>
      <c r="C430" t="s">
        <v>1257</v>
      </c>
      <c r="D430" s="1" t="s">
        <v>272</v>
      </c>
      <c r="E430">
        <v>3.5</v>
      </c>
      <c r="F430" s="1" t="s">
        <v>273</v>
      </c>
      <c r="G430" t="s">
        <v>91</v>
      </c>
      <c r="H430" t="s">
        <v>91</v>
      </c>
      <c r="I430" t="s">
        <v>107</v>
      </c>
      <c r="J430">
        <v>2012</v>
      </c>
      <c r="K430" t="s">
        <v>53</v>
      </c>
      <c r="L430" t="s">
        <v>67</v>
      </c>
      <c r="M430" t="s">
        <v>67</v>
      </c>
      <c r="N430" t="s">
        <v>212</v>
      </c>
      <c r="O430">
        <v>-1</v>
      </c>
    </row>
    <row r="431" spans="1:15" ht="409.6" x14ac:dyDescent="0.3">
      <c r="A431">
        <v>429</v>
      </c>
      <c r="B431" t="s">
        <v>26</v>
      </c>
      <c r="C431" t="s">
        <v>1257</v>
      </c>
      <c r="D431" s="1" t="s">
        <v>1017</v>
      </c>
      <c r="E431">
        <v>4.5999999999999996</v>
      </c>
      <c r="F431" s="1" t="s">
        <v>1018</v>
      </c>
      <c r="G431" t="s">
        <v>1019</v>
      </c>
      <c r="H431" t="s">
        <v>126</v>
      </c>
      <c r="I431" t="s">
        <v>52</v>
      </c>
      <c r="J431">
        <v>-1</v>
      </c>
      <c r="K431" t="s">
        <v>53</v>
      </c>
      <c r="L431" t="s">
        <v>40</v>
      </c>
      <c r="M431" t="s">
        <v>34</v>
      </c>
      <c r="N431" t="s">
        <v>403</v>
      </c>
      <c r="O431">
        <v>-1</v>
      </c>
    </row>
    <row r="432" spans="1:15" ht="409.6" x14ac:dyDescent="0.3">
      <c r="A432">
        <v>430</v>
      </c>
      <c r="B432" t="s">
        <v>26</v>
      </c>
      <c r="C432" t="s">
        <v>1257</v>
      </c>
      <c r="D432" s="1" t="s">
        <v>1258</v>
      </c>
      <c r="E432">
        <v>-1</v>
      </c>
      <c r="F432" t="s">
        <v>1259</v>
      </c>
      <c r="G432" t="s">
        <v>722</v>
      </c>
      <c r="H432" t="s">
        <v>111</v>
      </c>
      <c r="I432" t="s">
        <v>688</v>
      </c>
      <c r="J432">
        <v>-1</v>
      </c>
      <c r="K432" t="s">
        <v>32</v>
      </c>
      <c r="L432">
        <v>-1</v>
      </c>
      <c r="M432">
        <v>-1</v>
      </c>
      <c r="N432" t="s">
        <v>24</v>
      </c>
      <c r="O432">
        <v>-1</v>
      </c>
    </row>
    <row r="433" spans="1:15" ht="409.6" x14ac:dyDescent="0.3">
      <c r="A433">
        <v>431</v>
      </c>
      <c r="B433" t="s">
        <v>26</v>
      </c>
      <c r="C433" t="s">
        <v>1257</v>
      </c>
      <c r="D433" s="1" t="s">
        <v>1025</v>
      </c>
      <c r="E433">
        <v>-1</v>
      </c>
      <c r="F433" t="s">
        <v>1026</v>
      </c>
      <c r="G433" t="s">
        <v>647</v>
      </c>
      <c r="H433" t="s">
        <v>647</v>
      </c>
      <c r="I433" t="s">
        <v>117</v>
      </c>
      <c r="J433">
        <v>-1</v>
      </c>
      <c r="K433" t="s">
        <v>53</v>
      </c>
      <c r="L433">
        <v>-1</v>
      </c>
      <c r="M433">
        <v>-1</v>
      </c>
      <c r="N433" t="s">
        <v>24</v>
      </c>
      <c r="O433">
        <v>-1</v>
      </c>
    </row>
    <row r="434" spans="1:15" ht="409.6" x14ac:dyDescent="0.3">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v>-1</v>
      </c>
    </row>
    <row r="435" spans="1:15" ht="409.6" x14ac:dyDescent="0.3">
      <c r="A435">
        <v>433</v>
      </c>
      <c r="B435" t="s">
        <v>26</v>
      </c>
      <c r="C435" t="s">
        <v>1257</v>
      </c>
      <c r="D435" s="1" t="s">
        <v>1260</v>
      </c>
      <c r="E435">
        <v>3.6</v>
      </c>
      <c r="F435" s="1" t="s">
        <v>1261</v>
      </c>
      <c r="G435" t="s">
        <v>1262</v>
      </c>
      <c r="H435" t="s">
        <v>1262</v>
      </c>
      <c r="I435" t="s">
        <v>52</v>
      </c>
      <c r="J435">
        <v>-1</v>
      </c>
      <c r="K435" t="s">
        <v>53</v>
      </c>
      <c r="L435" t="s">
        <v>92</v>
      </c>
      <c r="M435" t="s">
        <v>60</v>
      </c>
      <c r="N435" t="s">
        <v>24</v>
      </c>
      <c r="O435" t="s">
        <v>1263</v>
      </c>
    </row>
    <row r="436" spans="1:15" ht="57.6" x14ac:dyDescent="0.3">
      <c r="A436">
        <v>434</v>
      </c>
      <c r="B436" t="s">
        <v>26</v>
      </c>
      <c r="C436" t="s">
        <v>1257</v>
      </c>
      <c r="D436" t="s">
        <v>1264</v>
      </c>
      <c r="E436">
        <v>3.1</v>
      </c>
      <c r="F436" s="1" t="s">
        <v>1265</v>
      </c>
      <c r="G436" t="s">
        <v>1266</v>
      </c>
      <c r="H436" t="s">
        <v>1266</v>
      </c>
      <c r="I436" t="s">
        <v>66</v>
      </c>
      <c r="J436">
        <v>1956</v>
      </c>
      <c r="K436" t="s">
        <v>32</v>
      </c>
      <c r="L436" t="s">
        <v>1267</v>
      </c>
      <c r="M436" t="s">
        <v>281</v>
      </c>
      <c r="N436" t="s">
        <v>79</v>
      </c>
      <c r="O436">
        <v>-1</v>
      </c>
    </row>
    <row r="437" spans="1:15" ht="409.6" x14ac:dyDescent="0.3">
      <c r="A437">
        <v>435</v>
      </c>
      <c r="B437" t="s">
        <v>26</v>
      </c>
      <c r="C437" t="s">
        <v>1257</v>
      </c>
      <c r="D437" s="1" t="s">
        <v>1268</v>
      </c>
      <c r="E437">
        <v>5</v>
      </c>
      <c r="F437" s="1" t="s">
        <v>1269</v>
      </c>
      <c r="G437" t="s">
        <v>178</v>
      </c>
      <c r="H437" t="s">
        <v>415</v>
      </c>
      <c r="I437" t="s">
        <v>117</v>
      </c>
      <c r="J437">
        <v>-1</v>
      </c>
      <c r="K437" t="s">
        <v>53</v>
      </c>
      <c r="L437">
        <v>-1</v>
      </c>
      <c r="M437">
        <v>-1</v>
      </c>
      <c r="N437" t="s">
        <v>212</v>
      </c>
      <c r="O437">
        <v>-1</v>
      </c>
    </row>
    <row r="438" spans="1:15" ht="409.6" x14ac:dyDescent="0.3">
      <c r="A438">
        <v>436</v>
      </c>
      <c r="B438" t="s">
        <v>316</v>
      </c>
      <c r="C438" t="s">
        <v>1257</v>
      </c>
      <c r="D438" s="1" t="s">
        <v>1270</v>
      </c>
      <c r="E438">
        <v>5</v>
      </c>
      <c r="F438" s="1" t="s">
        <v>1271</v>
      </c>
      <c r="G438" t="s">
        <v>1272</v>
      </c>
      <c r="H438" t="s">
        <v>1273</v>
      </c>
      <c r="I438" t="s">
        <v>117</v>
      </c>
      <c r="J438">
        <v>2018</v>
      </c>
      <c r="K438" t="s">
        <v>53</v>
      </c>
      <c r="L438" t="s">
        <v>286</v>
      </c>
      <c r="M438" t="s">
        <v>34</v>
      </c>
      <c r="N438" t="s">
        <v>24</v>
      </c>
      <c r="O438">
        <v>-1</v>
      </c>
    </row>
    <row r="439" spans="1:15" ht="409.6" x14ac:dyDescent="0.3">
      <c r="A439">
        <v>437</v>
      </c>
      <c r="B439" t="s">
        <v>26</v>
      </c>
      <c r="C439" t="s">
        <v>1257</v>
      </c>
      <c r="D439" s="1" t="s">
        <v>1038</v>
      </c>
      <c r="E439">
        <v>-1</v>
      </c>
      <c r="F439" t="s">
        <v>1039</v>
      </c>
      <c r="G439" t="s">
        <v>415</v>
      </c>
      <c r="H439" t="s">
        <v>1040</v>
      </c>
      <c r="I439" t="s">
        <v>52</v>
      </c>
      <c r="J439">
        <v>-1</v>
      </c>
      <c r="K439" t="s">
        <v>53</v>
      </c>
      <c r="L439" t="s">
        <v>92</v>
      </c>
      <c r="M439" t="s">
        <v>60</v>
      </c>
      <c r="N439" t="s">
        <v>24</v>
      </c>
      <c r="O439">
        <v>-1</v>
      </c>
    </row>
    <row r="440" spans="1:15" x14ac:dyDescent="0.3">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ht="409.6" x14ac:dyDescent="0.3">
      <c r="A441">
        <v>439</v>
      </c>
      <c r="B441" t="s">
        <v>26</v>
      </c>
      <c r="C441" t="s">
        <v>1257</v>
      </c>
      <c r="D441" s="1" t="s">
        <v>1277</v>
      </c>
      <c r="E441">
        <v>3.5</v>
      </c>
      <c r="F441" s="1" t="s">
        <v>1278</v>
      </c>
      <c r="G441" t="s">
        <v>675</v>
      </c>
      <c r="H441" t="s">
        <v>675</v>
      </c>
      <c r="I441" t="s">
        <v>107</v>
      </c>
      <c r="J441">
        <v>2014</v>
      </c>
      <c r="K441" t="s">
        <v>53</v>
      </c>
      <c r="L441" t="s">
        <v>1279</v>
      </c>
      <c r="M441" t="s">
        <v>1057</v>
      </c>
      <c r="N441" t="s">
        <v>24</v>
      </c>
      <c r="O441">
        <v>-1</v>
      </c>
    </row>
    <row r="442" spans="1:15" ht="409.6" x14ac:dyDescent="0.3">
      <c r="A442">
        <v>440</v>
      </c>
      <c r="B442" t="s">
        <v>26</v>
      </c>
      <c r="C442" t="s">
        <v>1257</v>
      </c>
      <c r="D442" s="1" t="s">
        <v>1280</v>
      </c>
      <c r="E442">
        <v>-1</v>
      </c>
      <c r="F442" t="s">
        <v>1281</v>
      </c>
      <c r="G442" t="s">
        <v>38</v>
      </c>
      <c r="H442" t="s">
        <v>38</v>
      </c>
      <c r="I442" t="s">
        <v>117</v>
      </c>
      <c r="J442">
        <v>-1</v>
      </c>
      <c r="K442" t="s">
        <v>39</v>
      </c>
      <c r="L442" t="s">
        <v>139</v>
      </c>
      <c r="M442" t="s">
        <v>140</v>
      </c>
      <c r="N442" t="s">
        <v>431</v>
      </c>
      <c r="O442">
        <v>-1</v>
      </c>
    </row>
    <row r="443" spans="1:15" ht="409.6" x14ac:dyDescent="0.3">
      <c r="A443">
        <v>441</v>
      </c>
      <c r="B443" t="s">
        <v>26</v>
      </c>
      <c r="C443" t="s">
        <v>1257</v>
      </c>
      <c r="D443" s="1" t="s">
        <v>1282</v>
      </c>
      <c r="E443">
        <v>5</v>
      </c>
      <c r="F443" s="1" t="s">
        <v>1283</v>
      </c>
      <c r="G443" t="s">
        <v>1284</v>
      </c>
      <c r="H443" t="s">
        <v>1284</v>
      </c>
      <c r="I443" t="s">
        <v>117</v>
      </c>
      <c r="J443">
        <v>-1</v>
      </c>
      <c r="K443" t="s">
        <v>32</v>
      </c>
      <c r="L443">
        <v>-1</v>
      </c>
      <c r="M443">
        <v>-1</v>
      </c>
      <c r="N443" t="s">
        <v>24</v>
      </c>
      <c r="O443">
        <v>-1</v>
      </c>
    </row>
    <row r="444" spans="1:15" ht="409.6" x14ac:dyDescent="0.3">
      <c r="A444">
        <v>442</v>
      </c>
      <c r="B444" t="s">
        <v>26</v>
      </c>
      <c r="C444" t="s">
        <v>1257</v>
      </c>
      <c r="D444" s="1" t="s">
        <v>1285</v>
      </c>
      <c r="E444">
        <v>2.7</v>
      </c>
      <c r="F444" s="1" t="s">
        <v>1286</v>
      </c>
      <c r="G444" t="s">
        <v>1287</v>
      </c>
      <c r="H444" t="s">
        <v>463</v>
      </c>
      <c r="I444" t="s">
        <v>66</v>
      </c>
      <c r="J444">
        <v>2007</v>
      </c>
      <c r="K444" t="s">
        <v>32</v>
      </c>
      <c r="L444" t="s">
        <v>92</v>
      </c>
      <c r="M444" t="s">
        <v>60</v>
      </c>
      <c r="N444" t="s">
        <v>24</v>
      </c>
      <c r="O444">
        <v>-1</v>
      </c>
    </row>
    <row r="445" spans="1:15" ht="409.6" x14ac:dyDescent="0.3">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v>-1</v>
      </c>
    </row>
    <row r="446" spans="1:15" ht="409.6" x14ac:dyDescent="0.3">
      <c r="A446">
        <v>444</v>
      </c>
      <c r="B446" t="s">
        <v>26</v>
      </c>
      <c r="C446" t="s">
        <v>1257</v>
      </c>
      <c r="D446" s="1" t="s">
        <v>1290</v>
      </c>
      <c r="E446">
        <v>2.1</v>
      </c>
      <c r="F446" s="1" t="s">
        <v>1291</v>
      </c>
      <c r="G446" t="s">
        <v>143</v>
      </c>
      <c r="H446" t="s">
        <v>1220</v>
      </c>
      <c r="I446" t="s">
        <v>688</v>
      </c>
      <c r="J446">
        <v>2019</v>
      </c>
      <c r="K446" t="s">
        <v>53</v>
      </c>
      <c r="L446" t="s">
        <v>512</v>
      </c>
      <c r="M446" t="s">
        <v>513</v>
      </c>
      <c r="N446" t="s">
        <v>24</v>
      </c>
      <c r="O446">
        <v>-1</v>
      </c>
    </row>
    <row r="447" spans="1:15" ht="409.6" x14ac:dyDescent="0.3">
      <c r="A447">
        <v>445</v>
      </c>
      <c r="B447" t="s">
        <v>1045</v>
      </c>
      <c r="C447" t="s">
        <v>1257</v>
      </c>
      <c r="D447" s="1" t="s">
        <v>1046</v>
      </c>
      <c r="E447">
        <v>4.8</v>
      </c>
      <c r="F447" s="1" t="s">
        <v>1047</v>
      </c>
      <c r="G447" t="s">
        <v>19</v>
      </c>
      <c r="H447" t="s">
        <v>19</v>
      </c>
      <c r="I447" t="s">
        <v>46</v>
      </c>
      <c r="J447">
        <v>2000</v>
      </c>
      <c r="K447" t="s">
        <v>53</v>
      </c>
      <c r="L447" t="s">
        <v>169</v>
      </c>
      <c r="M447" t="s">
        <v>170</v>
      </c>
      <c r="N447" t="s">
        <v>24</v>
      </c>
      <c r="O447">
        <v>-1</v>
      </c>
    </row>
    <row r="448" spans="1:15" ht="409.6" x14ac:dyDescent="0.3">
      <c r="A448">
        <v>446</v>
      </c>
      <c r="B448" t="s">
        <v>283</v>
      </c>
      <c r="C448" t="s">
        <v>1292</v>
      </c>
      <c r="D448" s="1" t="s">
        <v>284</v>
      </c>
      <c r="E448">
        <v>4.5</v>
      </c>
      <c r="F448" s="1" t="s">
        <v>285</v>
      </c>
      <c r="G448" t="s">
        <v>91</v>
      </c>
      <c r="H448" t="s">
        <v>91</v>
      </c>
      <c r="I448" t="s">
        <v>107</v>
      </c>
      <c r="J448">
        <v>1994</v>
      </c>
      <c r="K448" t="s">
        <v>53</v>
      </c>
      <c r="L448" t="s">
        <v>286</v>
      </c>
      <c r="M448" t="s">
        <v>34</v>
      </c>
      <c r="N448" t="s">
        <v>164</v>
      </c>
      <c r="O448">
        <v>-1</v>
      </c>
    </row>
    <row r="449" spans="1:15" ht="409.6" x14ac:dyDescent="0.3">
      <c r="A449">
        <v>447</v>
      </c>
      <c r="B449" t="s">
        <v>329</v>
      </c>
      <c r="C449" t="s">
        <v>1292</v>
      </c>
      <c r="D449" s="1" t="s">
        <v>330</v>
      </c>
      <c r="E449">
        <v>4</v>
      </c>
      <c r="F449" s="1" t="s">
        <v>331</v>
      </c>
      <c r="G449" t="s">
        <v>143</v>
      </c>
      <c r="H449" t="s">
        <v>332</v>
      </c>
      <c r="I449" t="s">
        <v>31</v>
      </c>
      <c r="J449">
        <v>1982</v>
      </c>
      <c r="K449" t="s">
        <v>32</v>
      </c>
      <c r="L449" t="s">
        <v>59</v>
      </c>
      <c r="M449" t="s">
        <v>60</v>
      </c>
      <c r="N449" t="s">
        <v>79</v>
      </c>
      <c r="O449">
        <v>-1</v>
      </c>
    </row>
    <row r="450" spans="1:15" ht="409.6" x14ac:dyDescent="0.3">
      <c r="A450">
        <v>448</v>
      </c>
      <c r="B450" t="s">
        <v>26</v>
      </c>
      <c r="C450" t="s">
        <v>1292</v>
      </c>
      <c r="D450" s="1" t="s">
        <v>1293</v>
      </c>
      <c r="E450">
        <v>3.3</v>
      </c>
      <c r="F450" s="1" t="s">
        <v>1294</v>
      </c>
      <c r="G450" t="s">
        <v>1118</v>
      </c>
      <c r="H450" t="s">
        <v>1118</v>
      </c>
      <c r="I450" t="s">
        <v>66</v>
      </c>
      <c r="J450">
        <v>-1</v>
      </c>
      <c r="K450" t="s">
        <v>21</v>
      </c>
      <c r="L450" t="s">
        <v>139</v>
      </c>
      <c r="M450" t="s">
        <v>140</v>
      </c>
      <c r="N450" t="s">
        <v>132</v>
      </c>
      <c r="O450">
        <v>-1</v>
      </c>
    </row>
    <row r="451" spans="1:15" ht="409.6" x14ac:dyDescent="0.3">
      <c r="A451">
        <v>449</v>
      </c>
      <c r="B451" t="s">
        <v>727</v>
      </c>
      <c r="C451" t="s">
        <v>1292</v>
      </c>
      <c r="D451" s="1" t="s">
        <v>728</v>
      </c>
      <c r="E451">
        <v>3.9</v>
      </c>
      <c r="F451" s="1" t="s">
        <v>63</v>
      </c>
      <c r="G451" t="s">
        <v>64</v>
      </c>
      <c r="H451" t="s">
        <v>65</v>
      </c>
      <c r="I451" t="s">
        <v>66</v>
      </c>
      <c r="J451">
        <v>1996</v>
      </c>
      <c r="K451" t="s">
        <v>32</v>
      </c>
      <c r="L451" t="s">
        <v>67</v>
      </c>
      <c r="M451" t="s">
        <v>67</v>
      </c>
      <c r="N451" t="s">
        <v>68</v>
      </c>
      <c r="O451">
        <v>-1</v>
      </c>
    </row>
    <row r="452" spans="1:15" ht="43.2" x14ac:dyDescent="0.3">
      <c r="A452">
        <v>450</v>
      </c>
      <c r="B452" t="s">
        <v>26</v>
      </c>
      <c r="C452" t="s">
        <v>1292</v>
      </c>
      <c r="D452" t="s">
        <v>1295</v>
      </c>
      <c r="E452">
        <v>3.2</v>
      </c>
      <c r="F452" s="1" t="s">
        <v>1296</v>
      </c>
      <c r="G452" t="s">
        <v>1251</v>
      </c>
      <c r="H452" t="s">
        <v>1030</v>
      </c>
      <c r="I452" t="s">
        <v>20</v>
      </c>
      <c r="J452">
        <v>2007</v>
      </c>
      <c r="K452" t="s">
        <v>53</v>
      </c>
      <c r="L452" t="s">
        <v>286</v>
      </c>
      <c r="M452" t="s">
        <v>34</v>
      </c>
      <c r="N452" t="s">
        <v>41</v>
      </c>
      <c r="O452">
        <v>-1</v>
      </c>
    </row>
    <row r="453" spans="1:15" ht="409.6" x14ac:dyDescent="0.3">
      <c r="A453">
        <v>451</v>
      </c>
      <c r="B453" t="s">
        <v>26</v>
      </c>
      <c r="C453" t="s">
        <v>1292</v>
      </c>
      <c r="D453" s="1" t="s">
        <v>1297</v>
      </c>
      <c r="E453">
        <v>3.2</v>
      </c>
      <c r="F453" s="1" t="s">
        <v>1298</v>
      </c>
      <c r="G453" t="s">
        <v>1299</v>
      </c>
      <c r="H453" t="s">
        <v>1300</v>
      </c>
      <c r="I453" t="s">
        <v>20</v>
      </c>
      <c r="J453">
        <v>2009</v>
      </c>
      <c r="K453" t="s">
        <v>32</v>
      </c>
      <c r="L453" t="s">
        <v>123</v>
      </c>
      <c r="M453" t="s">
        <v>60</v>
      </c>
      <c r="N453" t="s">
        <v>24</v>
      </c>
      <c r="O453">
        <v>-1</v>
      </c>
    </row>
    <row r="454" spans="1:15" ht="28.8" x14ac:dyDescent="0.3">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ht="43.2" x14ac:dyDescent="0.3">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ht="409.6" x14ac:dyDescent="0.3">
      <c r="A456">
        <v>454</v>
      </c>
      <c r="B456" t="s">
        <v>26</v>
      </c>
      <c r="C456" t="s">
        <v>1292</v>
      </c>
      <c r="D456" s="1" t="s">
        <v>1309</v>
      </c>
      <c r="E456">
        <v>3.1</v>
      </c>
      <c r="F456" s="1" t="s">
        <v>1310</v>
      </c>
      <c r="G456" t="s">
        <v>78</v>
      </c>
      <c r="H456" t="s">
        <v>693</v>
      </c>
      <c r="I456" t="s">
        <v>117</v>
      </c>
      <c r="J456">
        <v>2009</v>
      </c>
      <c r="K456" t="s">
        <v>53</v>
      </c>
      <c r="L456" t="s">
        <v>92</v>
      </c>
      <c r="M456" t="s">
        <v>60</v>
      </c>
      <c r="N456" t="s">
        <v>212</v>
      </c>
      <c r="O456">
        <v>-1</v>
      </c>
    </row>
    <row r="457" spans="1:15" ht="409.6" x14ac:dyDescent="0.3">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ht="409.6" x14ac:dyDescent="0.3">
      <c r="A458">
        <v>456</v>
      </c>
      <c r="B458" t="s">
        <v>26</v>
      </c>
      <c r="C458" t="s">
        <v>1292</v>
      </c>
      <c r="D458" s="1" t="s">
        <v>1311</v>
      </c>
      <c r="E458">
        <v>3.5</v>
      </c>
      <c r="F458" s="1" t="s">
        <v>1312</v>
      </c>
      <c r="G458" t="s">
        <v>1313</v>
      </c>
      <c r="H458" t="s">
        <v>1313</v>
      </c>
      <c r="I458" t="s">
        <v>46</v>
      </c>
      <c r="J458">
        <v>2006</v>
      </c>
      <c r="K458" t="s">
        <v>53</v>
      </c>
      <c r="L458" t="s">
        <v>22</v>
      </c>
      <c r="M458" t="s">
        <v>23</v>
      </c>
      <c r="N458" t="s">
        <v>194</v>
      </c>
      <c r="O458">
        <v>-1</v>
      </c>
    </row>
    <row r="459" spans="1:15" ht="409.6" x14ac:dyDescent="0.3">
      <c r="A459">
        <v>457</v>
      </c>
      <c r="B459" t="s">
        <v>26</v>
      </c>
      <c r="C459" t="s">
        <v>1292</v>
      </c>
      <c r="D459" s="1" t="s">
        <v>1062</v>
      </c>
      <c r="E459">
        <v>-1</v>
      </c>
      <c r="F459" t="s">
        <v>1063</v>
      </c>
      <c r="G459" t="s">
        <v>143</v>
      </c>
      <c r="H459" t="s">
        <v>1064</v>
      </c>
      <c r="I459" t="s">
        <v>117</v>
      </c>
      <c r="J459">
        <v>-1</v>
      </c>
      <c r="K459" t="s">
        <v>53</v>
      </c>
      <c r="L459">
        <v>-1</v>
      </c>
      <c r="M459">
        <v>-1</v>
      </c>
      <c r="N459" t="s">
        <v>431</v>
      </c>
      <c r="O459">
        <v>-1</v>
      </c>
    </row>
    <row r="460" spans="1:15" ht="409.6" x14ac:dyDescent="0.3">
      <c r="A460">
        <v>458</v>
      </c>
      <c r="B460" t="s">
        <v>221</v>
      </c>
      <c r="C460" t="s">
        <v>1292</v>
      </c>
      <c r="D460" s="1" t="s">
        <v>1065</v>
      </c>
      <c r="E460">
        <v>2.6</v>
      </c>
      <c r="F460" s="1" t="s">
        <v>1066</v>
      </c>
      <c r="G460" t="s">
        <v>914</v>
      </c>
      <c r="H460" t="s">
        <v>914</v>
      </c>
      <c r="I460" t="s">
        <v>46</v>
      </c>
      <c r="J460">
        <v>1984</v>
      </c>
      <c r="K460" t="s">
        <v>1067</v>
      </c>
      <c r="L460" t="s">
        <v>1068</v>
      </c>
      <c r="M460" t="s">
        <v>1069</v>
      </c>
      <c r="N460" t="s">
        <v>24</v>
      </c>
      <c r="O460">
        <v>-1</v>
      </c>
    </row>
    <row r="461" spans="1:15" ht="409.6" x14ac:dyDescent="0.3">
      <c r="A461">
        <v>459</v>
      </c>
      <c r="B461" t="s">
        <v>26</v>
      </c>
      <c r="C461" t="s">
        <v>1292</v>
      </c>
      <c r="D461" s="1" t="s">
        <v>1314</v>
      </c>
      <c r="E461">
        <v>-1</v>
      </c>
      <c r="F461" t="s">
        <v>1315</v>
      </c>
      <c r="G461" t="s">
        <v>1316</v>
      </c>
      <c r="H461">
        <v>-1</v>
      </c>
      <c r="I461">
        <v>-1</v>
      </c>
      <c r="J461">
        <v>-1</v>
      </c>
      <c r="K461">
        <v>-1</v>
      </c>
      <c r="L461">
        <v>-1</v>
      </c>
      <c r="M461">
        <v>-1</v>
      </c>
      <c r="N461">
        <v>-1</v>
      </c>
      <c r="O461">
        <v>-1</v>
      </c>
    </row>
    <row r="462" spans="1:15" ht="409.6" x14ac:dyDescent="0.3">
      <c r="A462">
        <v>460</v>
      </c>
      <c r="B462" t="s">
        <v>26</v>
      </c>
      <c r="C462" t="s">
        <v>1292</v>
      </c>
      <c r="D462" s="1" t="s">
        <v>1317</v>
      </c>
      <c r="E462">
        <v>2.7</v>
      </c>
      <c r="F462" s="1" t="s">
        <v>1318</v>
      </c>
      <c r="G462" t="s">
        <v>19</v>
      </c>
      <c r="H462" t="s">
        <v>19</v>
      </c>
      <c r="I462" t="s">
        <v>20</v>
      </c>
      <c r="J462">
        <v>1968</v>
      </c>
      <c r="K462" t="s">
        <v>32</v>
      </c>
      <c r="L462" t="s">
        <v>54</v>
      </c>
      <c r="M462" t="s">
        <v>34</v>
      </c>
      <c r="N462" t="s">
        <v>41</v>
      </c>
      <c r="O462">
        <v>-1</v>
      </c>
    </row>
    <row r="463" spans="1:15" ht="57.6" x14ac:dyDescent="0.3">
      <c r="A463">
        <v>461</v>
      </c>
      <c r="B463" t="s">
        <v>26</v>
      </c>
      <c r="C463" t="s">
        <v>1292</v>
      </c>
      <c r="D463" t="s">
        <v>1319</v>
      </c>
      <c r="E463">
        <v>3.5</v>
      </c>
      <c r="F463" s="1" t="s">
        <v>1320</v>
      </c>
      <c r="G463" t="s">
        <v>1251</v>
      </c>
      <c r="H463" t="s">
        <v>374</v>
      </c>
      <c r="I463" t="s">
        <v>46</v>
      </c>
      <c r="J463">
        <v>2009</v>
      </c>
      <c r="K463" t="s">
        <v>53</v>
      </c>
      <c r="L463" t="s">
        <v>40</v>
      </c>
      <c r="M463" t="s">
        <v>34</v>
      </c>
      <c r="N463" t="s">
        <v>24</v>
      </c>
      <c r="O463">
        <v>-1</v>
      </c>
    </row>
    <row r="464" spans="1:15" ht="409.6" x14ac:dyDescent="0.3">
      <c r="A464">
        <v>462</v>
      </c>
      <c r="B464" t="s">
        <v>26</v>
      </c>
      <c r="C464" t="s">
        <v>1292</v>
      </c>
      <c r="D464" s="1" t="s">
        <v>1321</v>
      </c>
      <c r="E464">
        <v>3.2</v>
      </c>
      <c r="F464" s="1" t="s">
        <v>1322</v>
      </c>
      <c r="G464" t="s">
        <v>903</v>
      </c>
      <c r="H464" t="s">
        <v>1323</v>
      </c>
      <c r="I464" t="s">
        <v>117</v>
      </c>
      <c r="J464">
        <v>-1</v>
      </c>
      <c r="K464" t="s">
        <v>53</v>
      </c>
      <c r="L464" t="s">
        <v>286</v>
      </c>
      <c r="M464" t="s">
        <v>34</v>
      </c>
      <c r="N464" t="s">
        <v>403</v>
      </c>
      <c r="O464">
        <v>-1</v>
      </c>
    </row>
    <row r="465" spans="1:15" ht="409.6" x14ac:dyDescent="0.3">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ht="409.6" x14ac:dyDescent="0.3">
      <c r="A466">
        <v>464</v>
      </c>
      <c r="B466" t="s">
        <v>26</v>
      </c>
      <c r="C466" t="s">
        <v>1292</v>
      </c>
      <c r="D466" s="1" t="s">
        <v>1324</v>
      </c>
      <c r="E466">
        <v>4.2</v>
      </c>
      <c r="F466" s="1" t="s">
        <v>1325</v>
      </c>
      <c r="G466" t="s">
        <v>1326</v>
      </c>
      <c r="H466" t="s">
        <v>1118</v>
      </c>
      <c r="I466" t="s">
        <v>52</v>
      </c>
      <c r="J466">
        <v>-1</v>
      </c>
      <c r="K466" t="s">
        <v>53</v>
      </c>
      <c r="L466" t="s">
        <v>92</v>
      </c>
      <c r="M466" t="s">
        <v>60</v>
      </c>
      <c r="N466" t="s">
        <v>431</v>
      </c>
      <c r="O466">
        <v>-1</v>
      </c>
    </row>
    <row r="467" spans="1:15" ht="409.6" x14ac:dyDescent="0.3">
      <c r="A467">
        <v>465</v>
      </c>
      <c r="B467" t="s">
        <v>26</v>
      </c>
      <c r="C467" t="s">
        <v>1292</v>
      </c>
      <c r="D467" s="1" t="s">
        <v>1072</v>
      </c>
      <c r="E467">
        <v>4.8</v>
      </c>
      <c r="F467" s="1" t="s">
        <v>1073</v>
      </c>
      <c r="G467" t="s">
        <v>19</v>
      </c>
      <c r="H467" t="s">
        <v>1074</v>
      </c>
      <c r="I467" t="s">
        <v>117</v>
      </c>
      <c r="J467">
        <v>2011</v>
      </c>
      <c r="K467" t="s">
        <v>53</v>
      </c>
      <c r="L467" t="s">
        <v>92</v>
      </c>
      <c r="M467" t="s">
        <v>60</v>
      </c>
      <c r="N467" t="s">
        <v>24</v>
      </c>
      <c r="O467">
        <v>-1</v>
      </c>
    </row>
    <row r="468" spans="1:15" ht="409.6" x14ac:dyDescent="0.3">
      <c r="A468">
        <v>466</v>
      </c>
      <c r="B468" t="s">
        <v>26</v>
      </c>
      <c r="C468" t="s">
        <v>1292</v>
      </c>
      <c r="D468" s="1" t="s">
        <v>1327</v>
      </c>
      <c r="E468">
        <v>4.2</v>
      </c>
      <c r="F468" s="1" t="s">
        <v>1328</v>
      </c>
      <c r="G468" t="s">
        <v>1329</v>
      </c>
      <c r="H468" t="s">
        <v>83</v>
      </c>
      <c r="I468" t="s">
        <v>52</v>
      </c>
      <c r="J468">
        <v>1989</v>
      </c>
      <c r="K468" t="s">
        <v>53</v>
      </c>
      <c r="L468" t="s">
        <v>286</v>
      </c>
      <c r="M468" t="s">
        <v>34</v>
      </c>
      <c r="N468" t="s">
        <v>160</v>
      </c>
      <c r="O468">
        <v>-1</v>
      </c>
    </row>
    <row r="469" spans="1:15" ht="409.6" x14ac:dyDescent="0.3">
      <c r="A469">
        <v>467</v>
      </c>
      <c r="B469" t="s">
        <v>313</v>
      </c>
      <c r="C469" t="s">
        <v>1330</v>
      </c>
      <c r="D469" s="1" t="s">
        <v>314</v>
      </c>
      <c r="E469">
        <v>3.3</v>
      </c>
      <c r="F469" s="1" t="s">
        <v>315</v>
      </c>
      <c r="G469" t="s">
        <v>83</v>
      </c>
      <c r="H469" t="s">
        <v>83</v>
      </c>
      <c r="I469" t="s">
        <v>46</v>
      </c>
      <c r="J469">
        <v>2015</v>
      </c>
      <c r="K469" t="s">
        <v>53</v>
      </c>
      <c r="L469" t="s">
        <v>67</v>
      </c>
      <c r="M469" t="s">
        <v>67</v>
      </c>
      <c r="N469" t="s">
        <v>24</v>
      </c>
      <c r="O469">
        <v>-1</v>
      </c>
    </row>
    <row r="470" spans="1:15" ht="409.6" x14ac:dyDescent="0.3">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ht="409.6" x14ac:dyDescent="0.3">
      <c r="A471">
        <v>469</v>
      </c>
      <c r="B471" t="s">
        <v>1075</v>
      </c>
      <c r="C471" t="s">
        <v>1330</v>
      </c>
      <c r="D471" s="1" t="s">
        <v>1076</v>
      </c>
      <c r="E471">
        <v>3.9</v>
      </c>
      <c r="F471" s="1" t="s">
        <v>1077</v>
      </c>
      <c r="G471" t="s">
        <v>19</v>
      </c>
      <c r="H471" t="s">
        <v>19</v>
      </c>
      <c r="I471" t="s">
        <v>52</v>
      </c>
      <c r="J471">
        <v>2012</v>
      </c>
      <c r="K471" t="s">
        <v>53</v>
      </c>
      <c r="L471" t="s">
        <v>33</v>
      </c>
      <c r="M471" t="s">
        <v>34</v>
      </c>
      <c r="N471" t="s">
        <v>24</v>
      </c>
      <c r="O471">
        <v>-1</v>
      </c>
    </row>
    <row r="472" spans="1:15" ht="409.6" x14ac:dyDescent="0.3">
      <c r="A472">
        <v>470</v>
      </c>
      <c r="B472" t="s">
        <v>734</v>
      </c>
      <c r="C472" t="s">
        <v>1330</v>
      </c>
      <c r="D472" s="1" t="s">
        <v>735</v>
      </c>
      <c r="E472">
        <v>3.7</v>
      </c>
      <c r="F472" s="1" t="s">
        <v>736</v>
      </c>
      <c r="G472" t="s">
        <v>737</v>
      </c>
      <c r="H472" t="s">
        <v>737</v>
      </c>
      <c r="I472" t="s">
        <v>20</v>
      </c>
      <c r="J472">
        <v>1999</v>
      </c>
      <c r="K472" t="s">
        <v>32</v>
      </c>
      <c r="L472" t="s">
        <v>738</v>
      </c>
      <c r="M472" t="s">
        <v>48</v>
      </c>
      <c r="N472" t="s">
        <v>41</v>
      </c>
      <c r="O472">
        <v>-1</v>
      </c>
    </row>
    <row r="473" spans="1:15" ht="409.6" x14ac:dyDescent="0.3">
      <c r="A473">
        <v>471</v>
      </c>
      <c r="B473" t="s">
        <v>26</v>
      </c>
      <c r="C473" t="s">
        <v>1330</v>
      </c>
      <c r="D473" s="1" t="s">
        <v>1331</v>
      </c>
      <c r="E473">
        <v>3.9</v>
      </c>
      <c r="F473" s="1" t="s">
        <v>1332</v>
      </c>
      <c r="G473" t="s">
        <v>1333</v>
      </c>
      <c r="H473" t="s">
        <v>1220</v>
      </c>
      <c r="I473" t="s">
        <v>46</v>
      </c>
      <c r="J473">
        <v>2004</v>
      </c>
      <c r="K473" t="s">
        <v>53</v>
      </c>
      <c r="L473" t="s">
        <v>175</v>
      </c>
      <c r="M473" t="s">
        <v>175</v>
      </c>
      <c r="N473" t="s">
        <v>194</v>
      </c>
      <c r="O473">
        <v>-1</v>
      </c>
    </row>
    <row r="474" spans="1:15" ht="409.6" x14ac:dyDescent="0.3">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ht="409.6" x14ac:dyDescent="0.3">
      <c r="A475">
        <v>473</v>
      </c>
      <c r="B475" t="s">
        <v>26</v>
      </c>
      <c r="C475" t="s">
        <v>1330</v>
      </c>
      <c r="D475" s="1" t="s">
        <v>1334</v>
      </c>
      <c r="E475">
        <v>4</v>
      </c>
      <c r="F475" s="1" t="s">
        <v>1335</v>
      </c>
      <c r="G475" t="s">
        <v>192</v>
      </c>
      <c r="H475" t="s">
        <v>570</v>
      </c>
      <c r="I475" t="s">
        <v>117</v>
      </c>
      <c r="J475">
        <v>2012</v>
      </c>
      <c r="K475" t="s">
        <v>53</v>
      </c>
      <c r="L475" t="s">
        <v>169</v>
      </c>
      <c r="M475" t="s">
        <v>170</v>
      </c>
      <c r="N475" t="s">
        <v>24</v>
      </c>
      <c r="O475">
        <v>-1</v>
      </c>
    </row>
    <row r="476" spans="1:15" ht="409.6" x14ac:dyDescent="0.3">
      <c r="A476">
        <v>474</v>
      </c>
      <c r="B476" t="s">
        <v>26</v>
      </c>
      <c r="C476" t="s">
        <v>1330</v>
      </c>
      <c r="D476" s="1" t="s">
        <v>1079</v>
      </c>
      <c r="E476">
        <v>3</v>
      </c>
      <c r="F476" s="1" t="s">
        <v>1080</v>
      </c>
      <c r="G476" t="s">
        <v>647</v>
      </c>
      <c r="H476" t="s">
        <v>205</v>
      </c>
      <c r="I476" t="s">
        <v>20</v>
      </c>
      <c r="J476">
        <v>1887</v>
      </c>
      <c r="K476" t="s">
        <v>53</v>
      </c>
      <c r="L476" t="s">
        <v>291</v>
      </c>
      <c r="M476" t="s">
        <v>23</v>
      </c>
      <c r="N476" t="s">
        <v>79</v>
      </c>
      <c r="O476">
        <v>-1</v>
      </c>
    </row>
    <row r="477" spans="1:15" ht="409.6" x14ac:dyDescent="0.3">
      <c r="A477">
        <v>475</v>
      </c>
      <c r="B477" t="s">
        <v>26</v>
      </c>
      <c r="C477" t="s">
        <v>1330</v>
      </c>
      <c r="D477" s="1" t="s">
        <v>1336</v>
      </c>
      <c r="E477">
        <v>3.7</v>
      </c>
      <c r="F477" s="1" t="s">
        <v>1337</v>
      </c>
      <c r="G477" t="s">
        <v>163</v>
      </c>
      <c r="H477" t="s">
        <v>163</v>
      </c>
      <c r="I477" t="s">
        <v>31</v>
      </c>
      <c r="J477">
        <v>2000</v>
      </c>
      <c r="K477" t="s">
        <v>32</v>
      </c>
      <c r="L477" t="s">
        <v>1003</v>
      </c>
      <c r="M477" t="s">
        <v>170</v>
      </c>
      <c r="N477" t="s">
        <v>79</v>
      </c>
      <c r="O477">
        <v>-1</v>
      </c>
    </row>
    <row r="478" spans="1:15" ht="409.6" x14ac:dyDescent="0.3">
      <c r="A478">
        <v>476</v>
      </c>
      <c r="B478" t="s">
        <v>26</v>
      </c>
      <c r="C478" t="s">
        <v>1330</v>
      </c>
      <c r="D478" s="1" t="s">
        <v>1338</v>
      </c>
      <c r="E478">
        <v>4.5</v>
      </c>
      <c r="F478" s="1" t="s">
        <v>1339</v>
      </c>
      <c r="G478" t="s">
        <v>111</v>
      </c>
      <c r="H478" t="s">
        <v>19</v>
      </c>
      <c r="I478" t="s">
        <v>117</v>
      </c>
      <c r="J478">
        <v>-1</v>
      </c>
      <c r="K478" t="s">
        <v>53</v>
      </c>
      <c r="L478">
        <v>-1</v>
      </c>
      <c r="M478">
        <v>-1</v>
      </c>
      <c r="N478" t="s">
        <v>431</v>
      </c>
      <c r="O478">
        <v>-1</v>
      </c>
    </row>
    <row r="479" spans="1:15" ht="409.6" x14ac:dyDescent="0.3">
      <c r="A479">
        <v>477</v>
      </c>
      <c r="B479" t="s">
        <v>26</v>
      </c>
      <c r="C479" t="s">
        <v>1330</v>
      </c>
      <c r="D479" s="1" t="s">
        <v>1340</v>
      </c>
      <c r="E479">
        <v>2.8</v>
      </c>
      <c r="F479" s="1" t="s">
        <v>1341</v>
      </c>
      <c r="G479" t="s">
        <v>652</v>
      </c>
      <c r="H479" t="s">
        <v>652</v>
      </c>
      <c r="I479" t="s">
        <v>52</v>
      </c>
      <c r="J479">
        <v>1987</v>
      </c>
      <c r="K479" t="s">
        <v>21</v>
      </c>
      <c r="L479" t="s">
        <v>1342</v>
      </c>
      <c r="M479" t="s">
        <v>1343</v>
      </c>
      <c r="N479" t="s">
        <v>164</v>
      </c>
      <c r="O479">
        <v>-1</v>
      </c>
    </row>
    <row r="480" spans="1:15" ht="409.6" x14ac:dyDescent="0.3">
      <c r="A480">
        <v>478</v>
      </c>
      <c r="B480" t="s">
        <v>26</v>
      </c>
      <c r="C480" t="s">
        <v>1330</v>
      </c>
      <c r="D480" s="1" t="s">
        <v>1344</v>
      </c>
      <c r="E480">
        <v>4.0999999999999996</v>
      </c>
      <c r="F480" s="1" t="s">
        <v>1345</v>
      </c>
      <c r="G480" t="s">
        <v>258</v>
      </c>
      <c r="H480" t="s">
        <v>258</v>
      </c>
      <c r="I480" t="s">
        <v>107</v>
      </c>
      <c r="J480">
        <v>-1</v>
      </c>
      <c r="K480" t="s">
        <v>53</v>
      </c>
      <c r="L480">
        <v>-1</v>
      </c>
      <c r="M480">
        <v>-1</v>
      </c>
      <c r="N480" t="s">
        <v>160</v>
      </c>
      <c r="O480">
        <v>-1</v>
      </c>
    </row>
    <row r="481" spans="1:15" ht="409.6" x14ac:dyDescent="0.3">
      <c r="A481">
        <v>479</v>
      </c>
      <c r="B481" t="s">
        <v>739</v>
      </c>
      <c r="C481" t="s">
        <v>1330</v>
      </c>
      <c r="D481" s="1" t="s">
        <v>740</v>
      </c>
      <c r="E481">
        <v>2.9</v>
      </c>
      <c r="F481" s="1" t="s">
        <v>741</v>
      </c>
      <c r="G481" t="s">
        <v>742</v>
      </c>
      <c r="H481" t="s">
        <v>743</v>
      </c>
      <c r="I481" t="s">
        <v>107</v>
      </c>
      <c r="J481">
        <v>1996</v>
      </c>
      <c r="K481" t="s">
        <v>32</v>
      </c>
      <c r="L481" t="s">
        <v>744</v>
      </c>
      <c r="M481" t="s">
        <v>100</v>
      </c>
      <c r="N481" t="s">
        <v>194</v>
      </c>
      <c r="O481">
        <v>-1</v>
      </c>
    </row>
    <row r="482" spans="1:15" ht="409.6" x14ac:dyDescent="0.3">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ht="409.6" x14ac:dyDescent="0.3">
      <c r="A483">
        <v>481</v>
      </c>
      <c r="B483" t="s">
        <v>26</v>
      </c>
      <c r="C483" t="s">
        <v>1330</v>
      </c>
      <c r="D483" s="1" t="s">
        <v>1346</v>
      </c>
      <c r="E483">
        <v>3.4</v>
      </c>
      <c r="F483" s="1" t="s">
        <v>1347</v>
      </c>
      <c r="G483" t="s">
        <v>1348</v>
      </c>
      <c r="H483" t="s">
        <v>1349</v>
      </c>
      <c r="I483" t="s">
        <v>20</v>
      </c>
      <c r="J483">
        <v>1998</v>
      </c>
      <c r="K483" t="s">
        <v>53</v>
      </c>
      <c r="L483" t="s">
        <v>1350</v>
      </c>
      <c r="M483" t="s">
        <v>1351</v>
      </c>
      <c r="N483" t="s">
        <v>41</v>
      </c>
      <c r="O483">
        <v>-1</v>
      </c>
    </row>
    <row r="484" spans="1:15" ht="409.6" x14ac:dyDescent="0.3">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ht="409.6" x14ac:dyDescent="0.3">
      <c r="A485">
        <v>483</v>
      </c>
      <c r="B485" t="s">
        <v>26</v>
      </c>
      <c r="C485" t="s">
        <v>1330</v>
      </c>
      <c r="D485" s="1" t="s">
        <v>1356</v>
      </c>
      <c r="E485">
        <v>2.9</v>
      </c>
      <c r="F485" s="1" t="s">
        <v>1357</v>
      </c>
      <c r="G485" t="s">
        <v>192</v>
      </c>
      <c r="H485" t="s">
        <v>415</v>
      </c>
      <c r="I485" t="s">
        <v>107</v>
      </c>
      <c r="J485">
        <v>1985</v>
      </c>
      <c r="K485" t="s">
        <v>53</v>
      </c>
      <c r="L485" t="s">
        <v>92</v>
      </c>
      <c r="M485" t="s">
        <v>60</v>
      </c>
      <c r="N485" t="s">
        <v>41</v>
      </c>
      <c r="O485">
        <v>-1</v>
      </c>
    </row>
    <row r="486" spans="1:15" ht="409.6" x14ac:dyDescent="0.3">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ht="409.6" x14ac:dyDescent="0.3">
      <c r="A487">
        <v>485</v>
      </c>
      <c r="B487" t="s">
        <v>26</v>
      </c>
      <c r="C487" t="s">
        <v>1330</v>
      </c>
      <c r="D487" s="1" t="s">
        <v>1100</v>
      </c>
      <c r="E487">
        <v>4.9000000000000004</v>
      </c>
      <c r="F487" s="1" t="s">
        <v>1101</v>
      </c>
      <c r="G487" t="s">
        <v>64</v>
      </c>
      <c r="H487" t="s">
        <v>64</v>
      </c>
      <c r="I487" t="s">
        <v>117</v>
      </c>
      <c r="J487">
        <v>2010</v>
      </c>
      <c r="K487" t="s">
        <v>53</v>
      </c>
      <c r="L487" t="s">
        <v>84</v>
      </c>
      <c r="M487" t="s">
        <v>60</v>
      </c>
      <c r="N487" t="s">
        <v>24</v>
      </c>
      <c r="O487">
        <v>-1</v>
      </c>
    </row>
    <row r="488" spans="1:15" ht="409.6" x14ac:dyDescent="0.3">
      <c r="A488">
        <v>486</v>
      </c>
      <c r="B488" t="s">
        <v>745</v>
      </c>
      <c r="C488" t="s">
        <v>1330</v>
      </c>
      <c r="D488" s="1" t="s">
        <v>746</v>
      </c>
      <c r="E488">
        <v>5</v>
      </c>
      <c r="F488" s="1" t="s">
        <v>747</v>
      </c>
      <c r="G488" t="s">
        <v>485</v>
      </c>
      <c r="H488" t="s">
        <v>748</v>
      </c>
      <c r="I488" t="s">
        <v>117</v>
      </c>
      <c r="J488">
        <v>2011</v>
      </c>
      <c r="K488" t="s">
        <v>53</v>
      </c>
      <c r="L488" t="s">
        <v>92</v>
      </c>
      <c r="M488" t="s">
        <v>60</v>
      </c>
      <c r="N488" t="s">
        <v>212</v>
      </c>
      <c r="O488">
        <v>-1</v>
      </c>
    </row>
    <row r="489" spans="1:15" ht="409.6" x14ac:dyDescent="0.3">
      <c r="A489">
        <v>487</v>
      </c>
      <c r="B489" t="s">
        <v>326</v>
      </c>
      <c r="C489" t="s">
        <v>1358</v>
      </c>
      <c r="D489" s="1" t="s">
        <v>327</v>
      </c>
      <c r="E489">
        <v>3.3</v>
      </c>
      <c r="F489" s="1" t="s">
        <v>315</v>
      </c>
      <c r="G489" t="s">
        <v>328</v>
      </c>
      <c r="H489" t="s">
        <v>83</v>
      </c>
      <c r="I489" t="s">
        <v>46</v>
      </c>
      <c r="J489">
        <v>2015</v>
      </c>
      <c r="K489" t="s">
        <v>53</v>
      </c>
      <c r="L489" t="s">
        <v>67</v>
      </c>
      <c r="M489" t="s">
        <v>67</v>
      </c>
      <c r="N489" t="s">
        <v>24</v>
      </c>
      <c r="O489">
        <v>-1</v>
      </c>
    </row>
    <row r="490" spans="1:15" ht="409.6" x14ac:dyDescent="0.3">
      <c r="A490">
        <v>488</v>
      </c>
      <c r="B490" t="s">
        <v>26</v>
      </c>
      <c r="C490" t="s">
        <v>1358</v>
      </c>
      <c r="D490" s="1" t="s">
        <v>351</v>
      </c>
      <c r="E490">
        <v>3.5</v>
      </c>
      <c r="F490" s="1" t="s">
        <v>352</v>
      </c>
      <c r="G490" t="s">
        <v>111</v>
      </c>
      <c r="H490" t="s">
        <v>353</v>
      </c>
      <c r="I490" t="s">
        <v>20</v>
      </c>
      <c r="J490">
        <v>2019</v>
      </c>
      <c r="K490" t="s">
        <v>53</v>
      </c>
      <c r="L490" t="s">
        <v>123</v>
      </c>
      <c r="M490" t="s">
        <v>60</v>
      </c>
      <c r="N490" t="s">
        <v>24</v>
      </c>
      <c r="O490" t="s">
        <v>354</v>
      </c>
    </row>
    <row r="491" spans="1:15" ht="409.6" x14ac:dyDescent="0.3">
      <c r="A491">
        <v>489</v>
      </c>
      <c r="B491" t="s">
        <v>26</v>
      </c>
      <c r="C491" t="s">
        <v>1358</v>
      </c>
      <c r="D491" s="1" t="s">
        <v>1359</v>
      </c>
      <c r="E491">
        <v>3.5</v>
      </c>
      <c r="F491" s="1" t="s">
        <v>1360</v>
      </c>
      <c r="G491" t="s">
        <v>1361</v>
      </c>
      <c r="H491" t="s">
        <v>1362</v>
      </c>
      <c r="I491" t="s">
        <v>117</v>
      </c>
      <c r="J491">
        <v>2010</v>
      </c>
      <c r="K491" t="s">
        <v>53</v>
      </c>
      <c r="L491" t="s">
        <v>139</v>
      </c>
      <c r="M491" t="s">
        <v>140</v>
      </c>
      <c r="N491" t="s">
        <v>212</v>
      </c>
      <c r="O491">
        <v>-1</v>
      </c>
    </row>
    <row r="492" spans="1:15" ht="409.6" x14ac:dyDescent="0.3">
      <c r="A492">
        <v>490</v>
      </c>
      <c r="B492" t="s">
        <v>26</v>
      </c>
      <c r="C492" t="s">
        <v>1358</v>
      </c>
      <c r="D492" s="1" t="s">
        <v>1363</v>
      </c>
      <c r="E492">
        <v>4</v>
      </c>
      <c r="F492" s="1" t="s">
        <v>1364</v>
      </c>
      <c r="G492" t="s">
        <v>19</v>
      </c>
      <c r="H492" t="s">
        <v>1365</v>
      </c>
      <c r="I492" t="s">
        <v>117</v>
      </c>
      <c r="J492">
        <v>-1</v>
      </c>
      <c r="K492" t="s">
        <v>53</v>
      </c>
      <c r="L492" t="s">
        <v>1252</v>
      </c>
      <c r="M492" t="s">
        <v>1253</v>
      </c>
      <c r="N492" t="s">
        <v>431</v>
      </c>
      <c r="O492">
        <v>-1</v>
      </c>
    </row>
    <row r="493" spans="1:15" ht="409.6" x14ac:dyDescent="0.3">
      <c r="A493">
        <v>491</v>
      </c>
      <c r="B493" t="s">
        <v>218</v>
      </c>
      <c r="C493" t="s">
        <v>1358</v>
      </c>
      <c r="D493" s="1" t="s">
        <v>1106</v>
      </c>
      <c r="E493">
        <v>3.9</v>
      </c>
      <c r="F493" s="1" t="s">
        <v>1107</v>
      </c>
      <c r="G493" t="s">
        <v>179</v>
      </c>
      <c r="H493" t="s">
        <v>263</v>
      </c>
      <c r="I493" t="s">
        <v>52</v>
      </c>
      <c r="J493">
        <v>2012</v>
      </c>
      <c r="K493" t="s">
        <v>32</v>
      </c>
      <c r="L493" t="s">
        <v>40</v>
      </c>
      <c r="M493" t="s">
        <v>34</v>
      </c>
      <c r="N493" t="s">
        <v>212</v>
      </c>
      <c r="O493">
        <v>-1</v>
      </c>
    </row>
    <row r="494" spans="1:15" ht="28.8" x14ac:dyDescent="0.3">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ht="409.6" x14ac:dyDescent="0.3">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ht="409.6" x14ac:dyDescent="0.3">
      <c r="A496">
        <v>494</v>
      </c>
      <c r="B496" t="s">
        <v>26</v>
      </c>
      <c r="C496" t="s">
        <v>1358</v>
      </c>
      <c r="D496" s="1" t="s">
        <v>1370</v>
      </c>
      <c r="E496">
        <v>4.7</v>
      </c>
      <c r="F496" s="1" t="s">
        <v>1371</v>
      </c>
      <c r="G496" t="s">
        <v>111</v>
      </c>
      <c r="H496" t="s">
        <v>1372</v>
      </c>
      <c r="I496" t="s">
        <v>117</v>
      </c>
      <c r="J496">
        <v>-1</v>
      </c>
      <c r="K496" t="s">
        <v>53</v>
      </c>
      <c r="L496">
        <v>-1</v>
      </c>
      <c r="M496">
        <v>-1</v>
      </c>
      <c r="N496" t="s">
        <v>212</v>
      </c>
      <c r="O496">
        <v>-1</v>
      </c>
    </row>
    <row r="497" spans="1:15" ht="409.6" x14ac:dyDescent="0.3">
      <c r="A497">
        <v>495</v>
      </c>
      <c r="B497" t="s">
        <v>26</v>
      </c>
      <c r="C497" t="s">
        <v>1358</v>
      </c>
      <c r="D497" s="1" t="s">
        <v>1108</v>
      </c>
      <c r="E497">
        <v>-1</v>
      </c>
      <c r="F497" t="s">
        <v>1109</v>
      </c>
      <c r="G497" t="s">
        <v>143</v>
      </c>
      <c r="H497">
        <v>-1</v>
      </c>
      <c r="I497">
        <v>-1</v>
      </c>
      <c r="J497">
        <v>-1</v>
      </c>
      <c r="K497">
        <v>-1</v>
      </c>
      <c r="L497">
        <v>-1</v>
      </c>
      <c r="M497">
        <v>-1</v>
      </c>
      <c r="N497">
        <v>-1</v>
      </c>
      <c r="O497">
        <v>-1</v>
      </c>
    </row>
    <row r="498" spans="1:15" ht="409.6" x14ac:dyDescent="0.3">
      <c r="A498">
        <v>496</v>
      </c>
      <c r="B498" t="s">
        <v>26</v>
      </c>
      <c r="C498" t="s">
        <v>1358</v>
      </c>
      <c r="D498" s="1" t="s">
        <v>1108</v>
      </c>
      <c r="E498">
        <v>-1</v>
      </c>
      <c r="F498" t="s">
        <v>1109</v>
      </c>
      <c r="G498" t="s">
        <v>143</v>
      </c>
      <c r="H498">
        <v>-1</v>
      </c>
      <c r="I498">
        <v>-1</v>
      </c>
      <c r="J498">
        <v>-1</v>
      </c>
      <c r="K498">
        <v>-1</v>
      </c>
      <c r="L498">
        <v>-1</v>
      </c>
      <c r="M498">
        <v>-1</v>
      </c>
      <c r="N498">
        <v>-1</v>
      </c>
      <c r="O498">
        <v>-1</v>
      </c>
    </row>
    <row r="499" spans="1:15" ht="409.6" x14ac:dyDescent="0.3">
      <c r="A499">
        <v>497</v>
      </c>
      <c r="B499" t="s">
        <v>26</v>
      </c>
      <c r="C499" t="s">
        <v>1358</v>
      </c>
      <c r="D499" s="1" t="s">
        <v>1108</v>
      </c>
      <c r="E499">
        <v>-1</v>
      </c>
      <c r="F499" t="s">
        <v>1109</v>
      </c>
      <c r="G499" t="s">
        <v>143</v>
      </c>
      <c r="H499">
        <v>-1</v>
      </c>
      <c r="I499">
        <v>-1</v>
      </c>
      <c r="J499">
        <v>-1</v>
      </c>
      <c r="K499">
        <v>-1</v>
      </c>
      <c r="L499">
        <v>-1</v>
      </c>
      <c r="M499">
        <v>-1</v>
      </c>
      <c r="N499">
        <v>-1</v>
      </c>
      <c r="O499">
        <v>-1</v>
      </c>
    </row>
    <row r="500" spans="1:15" ht="409.6" x14ac:dyDescent="0.3">
      <c r="A500">
        <v>498</v>
      </c>
      <c r="B500" t="s">
        <v>26</v>
      </c>
      <c r="C500" t="s">
        <v>1358</v>
      </c>
      <c r="D500" s="1" t="s">
        <v>1108</v>
      </c>
      <c r="E500">
        <v>-1</v>
      </c>
      <c r="F500" t="s">
        <v>1109</v>
      </c>
      <c r="G500" t="s">
        <v>143</v>
      </c>
      <c r="H500">
        <v>-1</v>
      </c>
      <c r="I500">
        <v>-1</v>
      </c>
      <c r="J500">
        <v>-1</v>
      </c>
      <c r="K500">
        <v>-1</v>
      </c>
      <c r="L500">
        <v>-1</v>
      </c>
      <c r="M500">
        <v>-1</v>
      </c>
      <c r="N500">
        <v>-1</v>
      </c>
      <c r="O500">
        <v>-1</v>
      </c>
    </row>
    <row r="501" spans="1:15" ht="409.6" x14ac:dyDescent="0.3">
      <c r="A501">
        <v>499</v>
      </c>
      <c r="B501" t="s">
        <v>26</v>
      </c>
      <c r="C501" t="s">
        <v>1358</v>
      </c>
      <c r="D501" s="1" t="s">
        <v>1108</v>
      </c>
      <c r="E501">
        <v>-1</v>
      </c>
      <c r="F501" t="s">
        <v>1109</v>
      </c>
      <c r="G501" t="s">
        <v>143</v>
      </c>
      <c r="H501">
        <v>-1</v>
      </c>
      <c r="I501">
        <v>-1</v>
      </c>
      <c r="J501">
        <v>-1</v>
      </c>
      <c r="K501">
        <v>-1</v>
      </c>
      <c r="L501">
        <v>-1</v>
      </c>
      <c r="M501">
        <v>-1</v>
      </c>
      <c r="N501">
        <v>-1</v>
      </c>
      <c r="O501">
        <v>-1</v>
      </c>
    </row>
    <row r="502" spans="1:15" ht="409.6" x14ac:dyDescent="0.3">
      <c r="A502">
        <v>500</v>
      </c>
      <c r="B502" t="s">
        <v>26</v>
      </c>
      <c r="C502" t="s">
        <v>1358</v>
      </c>
      <c r="D502" s="1" t="s">
        <v>1108</v>
      </c>
      <c r="E502">
        <v>-1</v>
      </c>
      <c r="F502" t="s">
        <v>1109</v>
      </c>
      <c r="G502" t="s">
        <v>143</v>
      </c>
      <c r="H502">
        <v>-1</v>
      </c>
      <c r="I502">
        <v>-1</v>
      </c>
      <c r="J502">
        <v>-1</v>
      </c>
      <c r="K502">
        <v>-1</v>
      </c>
      <c r="L502">
        <v>-1</v>
      </c>
      <c r="M502">
        <v>-1</v>
      </c>
      <c r="N502">
        <v>-1</v>
      </c>
      <c r="O502">
        <v>-1</v>
      </c>
    </row>
    <row r="503" spans="1:15" ht="409.6" x14ac:dyDescent="0.3">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v>-1</v>
      </c>
    </row>
    <row r="504" spans="1:15" ht="409.6" x14ac:dyDescent="0.3">
      <c r="A504">
        <v>502</v>
      </c>
      <c r="B504" t="s">
        <v>26</v>
      </c>
      <c r="C504" t="s">
        <v>1358</v>
      </c>
      <c r="D504" s="1" t="s">
        <v>1376</v>
      </c>
      <c r="E504">
        <v>4</v>
      </c>
      <c r="F504" s="1" t="s">
        <v>1377</v>
      </c>
      <c r="G504" t="s">
        <v>193</v>
      </c>
      <c r="H504" t="s">
        <v>699</v>
      </c>
      <c r="I504" t="s">
        <v>52</v>
      </c>
      <c r="J504">
        <v>1999</v>
      </c>
      <c r="K504" t="s">
        <v>53</v>
      </c>
      <c r="L504" t="s">
        <v>59</v>
      </c>
      <c r="M504" t="s">
        <v>60</v>
      </c>
      <c r="N504" t="s">
        <v>160</v>
      </c>
      <c r="O504">
        <v>-1</v>
      </c>
    </row>
    <row r="505" spans="1:15" ht="409.6" x14ac:dyDescent="0.3">
      <c r="A505">
        <v>503</v>
      </c>
      <c r="B505" t="s">
        <v>26</v>
      </c>
      <c r="C505" t="s">
        <v>1358</v>
      </c>
      <c r="D505" s="1" t="s">
        <v>1378</v>
      </c>
      <c r="E505">
        <v>4</v>
      </c>
      <c r="F505" s="1" t="s">
        <v>1379</v>
      </c>
      <c r="G505" t="s">
        <v>83</v>
      </c>
      <c r="H505" t="s">
        <v>1380</v>
      </c>
      <c r="I505" t="s">
        <v>117</v>
      </c>
      <c r="J505">
        <v>-1</v>
      </c>
      <c r="K505" t="s">
        <v>53</v>
      </c>
      <c r="L505" t="s">
        <v>286</v>
      </c>
      <c r="M505" t="s">
        <v>34</v>
      </c>
      <c r="N505" t="s">
        <v>212</v>
      </c>
      <c r="O505">
        <v>-1</v>
      </c>
    </row>
    <row r="506" spans="1:15" ht="409.6" x14ac:dyDescent="0.3">
      <c r="A506">
        <v>504</v>
      </c>
      <c r="B506" t="s">
        <v>26</v>
      </c>
      <c r="C506" t="s">
        <v>1358</v>
      </c>
      <c r="D506" s="1" t="s">
        <v>1381</v>
      </c>
      <c r="E506">
        <v>-1</v>
      </c>
      <c r="F506" t="s">
        <v>1382</v>
      </c>
      <c r="G506" t="s">
        <v>29</v>
      </c>
      <c r="H506">
        <v>-1</v>
      </c>
      <c r="I506" t="s">
        <v>117</v>
      </c>
      <c r="J506">
        <v>-1</v>
      </c>
      <c r="K506" t="s">
        <v>688</v>
      </c>
      <c r="L506">
        <v>-1</v>
      </c>
      <c r="M506">
        <v>-1</v>
      </c>
      <c r="N506" t="s">
        <v>24</v>
      </c>
      <c r="O506">
        <v>-1</v>
      </c>
    </row>
    <row r="507" spans="1:15" ht="409.6" x14ac:dyDescent="0.3">
      <c r="A507">
        <v>505</v>
      </c>
      <c r="B507" t="s">
        <v>26</v>
      </c>
      <c r="C507" t="s">
        <v>1358</v>
      </c>
      <c r="D507" s="1" t="s">
        <v>1383</v>
      </c>
      <c r="E507">
        <v>4.7</v>
      </c>
      <c r="F507" s="1" t="s">
        <v>1384</v>
      </c>
      <c r="G507" t="s">
        <v>83</v>
      </c>
      <c r="H507" t="s">
        <v>1385</v>
      </c>
      <c r="I507" t="s">
        <v>52</v>
      </c>
      <c r="J507">
        <v>1994</v>
      </c>
      <c r="K507" t="s">
        <v>53</v>
      </c>
      <c r="L507" t="s">
        <v>286</v>
      </c>
      <c r="M507" t="s">
        <v>34</v>
      </c>
      <c r="N507" t="s">
        <v>160</v>
      </c>
      <c r="O507">
        <v>-1</v>
      </c>
    </row>
    <row r="508" spans="1:15" ht="409.6" x14ac:dyDescent="0.3">
      <c r="A508">
        <v>506</v>
      </c>
      <c r="B508" t="s">
        <v>26</v>
      </c>
      <c r="C508" t="s">
        <v>1358</v>
      </c>
      <c r="D508" s="1" t="s">
        <v>1386</v>
      </c>
      <c r="E508">
        <v>3.5</v>
      </c>
      <c r="F508" s="1" t="s">
        <v>1387</v>
      </c>
      <c r="G508" t="s">
        <v>143</v>
      </c>
      <c r="H508" t="s">
        <v>143</v>
      </c>
      <c r="I508" t="s">
        <v>52</v>
      </c>
      <c r="J508">
        <v>1998</v>
      </c>
      <c r="K508" t="s">
        <v>53</v>
      </c>
      <c r="L508" t="s">
        <v>40</v>
      </c>
      <c r="M508" t="s">
        <v>34</v>
      </c>
      <c r="N508" t="s">
        <v>164</v>
      </c>
      <c r="O508">
        <v>-1</v>
      </c>
    </row>
    <row r="509" spans="1:15" ht="409.6" x14ac:dyDescent="0.3">
      <c r="A509">
        <v>507</v>
      </c>
      <c r="B509" t="s">
        <v>753</v>
      </c>
      <c r="C509" t="s">
        <v>1358</v>
      </c>
      <c r="D509" s="1" t="s">
        <v>754</v>
      </c>
      <c r="E509">
        <v>5</v>
      </c>
      <c r="F509" s="1" t="s">
        <v>747</v>
      </c>
      <c r="G509" t="s">
        <v>755</v>
      </c>
      <c r="H509" t="s">
        <v>748</v>
      </c>
      <c r="I509" t="s">
        <v>117</v>
      </c>
      <c r="J509">
        <v>2011</v>
      </c>
      <c r="K509" t="s">
        <v>53</v>
      </c>
      <c r="L509" t="s">
        <v>92</v>
      </c>
      <c r="M509" t="s">
        <v>60</v>
      </c>
      <c r="N509" t="s">
        <v>212</v>
      </c>
      <c r="O509">
        <v>-1</v>
      </c>
    </row>
    <row r="510" spans="1:15" ht="409.6" x14ac:dyDescent="0.3">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ht="409.6" x14ac:dyDescent="0.3">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ht="409.6" x14ac:dyDescent="0.3">
      <c r="A512">
        <v>510</v>
      </c>
      <c r="B512" t="s">
        <v>26</v>
      </c>
      <c r="C512" t="s">
        <v>1389</v>
      </c>
      <c r="D512" s="1" t="s">
        <v>1395</v>
      </c>
      <c r="E512">
        <v>3.6</v>
      </c>
      <c r="F512" s="1" t="s">
        <v>1396</v>
      </c>
      <c r="G512" t="s">
        <v>192</v>
      </c>
      <c r="H512" t="s">
        <v>1220</v>
      </c>
      <c r="I512" t="s">
        <v>107</v>
      </c>
      <c r="J512">
        <v>2002</v>
      </c>
      <c r="K512" t="s">
        <v>32</v>
      </c>
      <c r="L512" t="s">
        <v>286</v>
      </c>
      <c r="M512" t="s">
        <v>34</v>
      </c>
      <c r="N512" t="s">
        <v>24</v>
      </c>
      <c r="O512" t="s">
        <v>1397</v>
      </c>
    </row>
    <row r="513" spans="1:15" ht="409.6" x14ac:dyDescent="0.3">
      <c r="A513">
        <v>511</v>
      </c>
      <c r="B513" t="s">
        <v>1398</v>
      </c>
      <c r="C513" t="s">
        <v>1389</v>
      </c>
      <c r="D513" s="1" t="s">
        <v>1399</v>
      </c>
      <c r="E513">
        <v>5</v>
      </c>
      <c r="F513" s="1" t="s">
        <v>1400</v>
      </c>
      <c r="G513" t="s">
        <v>19</v>
      </c>
      <c r="H513" t="s">
        <v>1401</v>
      </c>
      <c r="I513" t="s">
        <v>117</v>
      </c>
      <c r="J513">
        <v>1987</v>
      </c>
      <c r="K513" t="s">
        <v>53</v>
      </c>
      <c r="L513" t="s">
        <v>286</v>
      </c>
      <c r="M513" t="s">
        <v>34</v>
      </c>
      <c r="N513" t="s">
        <v>24</v>
      </c>
      <c r="O513">
        <v>-1</v>
      </c>
    </row>
    <row r="514" spans="1:15" ht="409.6" x14ac:dyDescent="0.3">
      <c r="A514">
        <v>512</v>
      </c>
      <c r="B514" t="s">
        <v>240</v>
      </c>
      <c r="C514" t="s">
        <v>1389</v>
      </c>
      <c r="D514" s="1" t="s">
        <v>752</v>
      </c>
      <c r="E514">
        <v>3.5</v>
      </c>
      <c r="F514" s="1" t="s">
        <v>472</v>
      </c>
      <c r="G514" t="s">
        <v>30</v>
      </c>
      <c r="H514" t="s">
        <v>473</v>
      </c>
      <c r="I514" t="s">
        <v>31</v>
      </c>
      <c r="J514">
        <v>-1</v>
      </c>
      <c r="K514" t="s">
        <v>32</v>
      </c>
      <c r="L514" t="s">
        <v>175</v>
      </c>
      <c r="M514" t="s">
        <v>175</v>
      </c>
      <c r="N514" t="s">
        <v>79</v>
      </c>
      <c r="O514">
        <v>-1</v>
      </c>
    </row>
    <row r="515" spans="1:15" ht="409.6" x14ac:dyDescent="0.3">
      <c r="A515">
        <v>513</v>
      </c>
      <c r="B515" t="s">
        <v>26</v>
      </c>
      <c r="C515" t="s">
        <v>1389</v>
      </c>
      <c r="D515" s="1" t="s">
        <v>1402</v>
      </c>
      <c r="E515">
        <v>4.7</v>
      </c>
      <c r="F515" s="1" t="s">
        <v>1403</v>
      </c>
      <c r="G515" t="s">
        <v>193</v>
      </c>
      <c r="H515" t="s">
        <v>1287</v>
      </c>
      <c r="I515" t="s">
        <v>688</v>
      </c>
      <c r="J515">
        <v>-1</v>
      </c>
      <c r="K515" t="s">
        <v>53</v>
      </c>
      <c r="L515" t="s">
        <v>1404</v>
      </c>
      <c r="M515" t="s">
        <v>469</v>
      </c>
      <c r="N515" t="s">
        <v>431</v>
      </c>
      <c r="O515">
        <v>-1</v>
      </c>
    </row>
    <row r="516" spans="1:15" ht="409.6" x14ac:dyDescent="0.3">
      <c r="A516">
        <v>514</v>
      </c>
      <c r="B516" t="s">
        <v>26</v>
      </c>
      <c r="C516" t="s">
        <v>1389</v>
      </c>
      <c r="D516" s="1" t="s">
        <v>1111</v>
      </c>
      <c r="E516">
        <v>3.5</v>
      </c>
      <c r="F516" s="1" t="s">
        <v>472</v>
      </c>
      <c r="G516" t="s">
        <v>30</v>
      </c>
      <c r="H516" t="s">
        <v>473</v>
      </c>
      <c r="I516" t="s">
        <v>31</v>
      </c>
      <c r="J516">
        <v>-1</v>
      </c>
      <c r="K516" t="s">
        <v>32</v>
      </c>
      <c r="L516" t="s">
        <v>175</v>
      </c>
      <c r="M516" t="s">
        <v>175</v>
      </c>
      <c r="N516" t="s">
        <v>79</v>
      </c>
      <c r="O516">
        <v>-1</v>
      </c>
    </row>
    <row r="517" spans="1:15" ht="409.6" x14ac:dyDescent="0.3">
      <c r="A517">
        <v>515</v>
      </c>
      <c r="B517" t="s">
        <v>26</v>
      </c>
      <c r="C517" t="s">
        <v>1389</v>
      </c>
      <c r="D517" s="1" t="s">
        <v>1405</v>
      </c>
      <c r="E517">
        <v>3.6</v>
      </c>
      <c r="F517" s="1" t="s">
        <v>1406</v>
      </c>
      <c r="G517" t="s">
        <v>1407</v>
      </c>
      <c r="H517" t="s">
        <v>1408</v>
      </c>
      <c r="I517" t="s">
        <v>46</v>
      </c>
      <c r="J517">
        <v>-1</v>
      </c>
      <c r="K517" t="s">
        <v>98</v>
      </c>
      <c r="L517">
        <v>-1</v>
      </c>
      <c r="M517">
        <v>-1</v>
      </c>
      <c r="N517" t="s">
        <v>24</v>
      </c>
      <c r="O517">
        <v>-1</v>
      </c>
    </row>
    <row r="518" spans="1:15" ht="409.6" x14ac:dyDescent="0.3">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ht="409.6" x14ac:dyDescent="0.3">
      <c r="A519">
        <v>517</v>
      </c>
      <c r="B519" t="s">
        <v>26</v>
      </c>
      <c r="C519" t="s">
        <v>1389</v>
      </c>
      <c r="D519" s="1" t="s">
        <v>1409</v>
      </c>
      <c r="E519">
        <v>2.7</v>
      </c>
      <c r="F519" s="1" t="s">
        <v>1410</v>
      </c>
      <c r="G519" t="s">
        <v>1411</v>
      </c>
      <c r="H519" t="s">
        <v>29</v>
      </c>
      <c r="I519" t="s">
        <v>52</v>
      </c>
      <c r="J519">
        <v>2010</v>
      </c>
      <c r="K519" t="s">
        <v>32</v>
      </c>
      <c r="L519" t="s">
        <v>175</v>
      </c>
      <c r="M519" t="s">
        <v>175</v>
      </c>
      <c r="N519" t="s">
        <v>24</v>
      </c>
      <c r="O519">
        <v>-1</v>
      </c>
    </row>
    <row r="520" spans="1:15" ht="409.6" x14ac:dyDescent="0.3">
      <c r="A520">
        <v>518</v>
      </c>
      <c r="B520" t="s">
        <v>756</v>
      </c>
      <c r="C520" t="s">
        <v>1389</v>
      </c>
      <c r="D520" s="1" t="s">
        <v>394</v>
      </c>
      <c r="E520">
        <v>4.8</v>
      </c>
      <c r="F520" s="1" t="s">
        <v>242</v>
      </c>
      <c r="G520" t="s">
        <v>38</v>
      </c>
      <c r="H520" t="s">
        <v>38</v>
      </c>
      <c r="I520" t="s">
        <v>107</v>
      </c>
      <c r="J520">
        <v>2012</v>
      </c>
      <c r="K520" t="s">
        <v>53</v>
      </c>
      <c r="L520" t="s">
        <v>59</v>
      </c>
      <c r="M520" t="s">
        <v>60</v>
      </c>
      <c r="N520" t="s">
        <v>24</v>
      </c>
      <c r="O520">
        <v>-1</v>
      </c>
    </row>
    <row r="521" spans="1:15" ht="409.6" x14ac:dyDescent="0.3">
      <c r="A521">
        <v>519</v>
      </c>
      <c r="B521" t="s">
        <v>1412</v>
      </c>
      <c r="C521" t="s">
        <v>1389</v>
      </c>
      <c r="D521" s="1" t="s">
        <v>1413</v>
      </c>
      <c r="E521">
        <v>-1</v>
      </c>
      <c r="F521" t="s">
        <v>1414</v>
      </c>
      <c r="G521" t="s">
        <v>64</v>
      </c>
      <c r="H521">
        <v>-1</v>
      </c>
      <c r="I521">
        <v>-1</v>
      </c>
      <c r="J521">
        <v>-1</v>
      </c>
      <c r="K521">
        <v>-1</v>
      </c>
      <c r="L521">
        <v>-1</v>
      </c>
      <c r="M521">
        <v>-1</v>
      </c>
      <c r="N521">
        <v>-1</v>
      </c>
      <c r="O521">
        <v>-1</v>
      </c>
    </row>
    <row r="522" spans="1:15" ht="409.6" x14ac:dyDescent="0.3">
      <c r="A522">
        <v>520</v>
      </c>
      <c r="B522" t="s">
        <v>26</v>
      </c>
      <c r="C522" t="s">
        <v>1389</v>
      </c>
      <c r="D522" s="1" t="s">
        <v>1415</v>
      </c>
      <c r="E522">
        <v>4</v>
      </c>
      <c r="F522" s="1" t="s">
        <v>1416</v>
      </c>
      <c r="G522" t="s">
        <v>111</v>
      </c>
      <c r="H522" t="s">
        <v>874</v>
      </c>
      <c r="I522" t="s">
        <v>52</v>
      </c>
      <c r="J522">
        <v>-1</v>
      </c>
      <c r="K522" t="s">
        <v>53</v>
      </c>
      <c r="L522" t="s">
        <v>1417</v>
      </c>
      <c r="M522" t="s">
        <v>1418</v>
      </c>
      <c r="N522" t="s">
        <v>403</v>
      </c>
      <c r="O522">
        <v>-1</v>
      </c>
    </row>
    <row r="523" spans="1:15" ht="409.6" x14ac:dyDescent="0.3">
      <c r="A523">
        <v>521</v>
      </c>
      <c r="B523" t="s">
        <v>26</v>
      </c>
      <c r="C523" t="s">
        <v>1389</v>
      </c>
      <c r="D523" s="1" t="s">
        <v>1419</v>
      </c>
      <c r="E523">
        <v>3.8</v>
      </c>
      <c r="F523" s="1" t="s">
        <v>1420</v>
      </c>
      <c r="G523" t="s">
        <v>111</v>
      </c>
      <c r="H523" t="s">
        <v>652</v>
      </c>
      <c r="I523" t="s">
        <v>52</v>
      </c>
      <c r="J523">
        <v>2010</v>
      </c>
      <c r="K523" t="s">
        <v>32</v>
      </c>
      <c r="L523" t="s">
        <v>92</v>
      </c>
      <c r="M523" t="s">
        <v>60</v>
      </c>
      <c r="N523" t="s">
        <v>160</v>
      </c>
      <c r="O523">
        <v>-1</v>
      </c>
    </row>
    <row r="524" spans="1:15" ht="409.6" x14ac:dyDescent="0.3">
      <c r="A524">
        <v>522</v>
      </c>
      <c r="B524" t="s">
        <v>1421</v>
      </c>
      <c r="C524" t="s">
        <v>1389</v>
      </c>
      <c r="D524" s="1" t="s">
        <v>1422</v>
      </c>
      <c r="E524">
        <v>4.2</v>
      </c>
      <c r="F524" s="1" t="s">
        <v>1423</v>
      </c>
      <c r="G524" t="s">
        <v>1036</v>
      </c>
      <c r="H524" t="s">
        <v>869</v>
      </c>
      <c r="I524" t="s">
        <v>46</v>
      </c>
      <c r="J524">
        <v>2012</v>
      </c>
      <c r="K524" t="s">
        <v>32</v>
      </c>
      <c r="L524" t="s">
        <v>67</v>
      </c>
      <c r="M524" t="s">
        <v>67</v>
      </c>
      <c r="N524" t="s">
        <v>24</v>
      </c>
      <c r="O524">
        <v>-1</v>
      </c>
    </row>
    <row r="525" spans="1:15" ht="409.6" x14ac:dyDescent="0.3">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ht="409.6" x14ac:dyDescent="0.3">
      <c r="A526">
        <v>524</v>
      </c>
      <c r="B526" t="s">
        <v>26</v>
      </c>
      <c r="C526" t="s">
        <v>1389</v>
      </c>
      <c r="D526" s="1" t="s">
        <v>1426</v>
      </c>
      <c r="E526">
        <v>-1</v>
      </c>
      <c r="F526" t="s">
        <v>1427</v>
      </c>
      <c r="G526" t="s">
        <v>19</v>
      </c>
      <c r="H526" t="s">
        <v>19</v>
      </c>
      <c r="I526" t="s">
        <v>688</v>
      </c>
      <c r="J526">
        <v>-1</v>
      </c>
      <c r="K526" t="s">
        <v>53</v>
      </c>
      <c r="L526">
        <v>-1</v>
      </c>
      <c r="M526">
        <v>-1</v>
      </c>
      <c r="N526" t="s">
        <v>24</v>
      </c>
      <c r="O526">
        <v>-1</v>
      </c>
    </row>
    <row r="527" spans="1:15" ht="409.6" x14ac:dyDescent="0.3">
      <c r="A527">
        <v>525</v>
      </c>
      <c r="B527" t="s">
        <v>26</v>
      </c>
      <c r="C527" t="s">
        <v>1389</v>
      </c>
      <c r="D527" s="1" t="s">
        <v>1123</v>
      </c>
      <c r="E527">
        <v>4.5</v>
      </c>
      <c r="F527" s="1" t="s">
        <v>1124</v>
      </c>
      <c r="G527" t="s">
        <v>111</v>
      </c>
      <c r="H527" t="s">
        <v>1125</v>
      </c>
      <c r="I527" t="s">
        <v>117</v>
      </c>
      <c r="J527">
        <v>1980</v>
      </c>
      <c r="K527" t="s">
        <v>53</v>
      </c>
      <c r="L527" t="s">
        <v>286</v>
      </c>
      <c r="M527" t="s">
        <v>34</v>
      </c>
      <c r="N527" t="s">
        <v>24</v>
      </c>
      <c r="O527" t="s">
        <v>1126</v>
      </c>
    </row>
    <row r="528" spans="1:15" ht="409.6" x14ac:dyDescent="0.3">
      <c r="A528">
        <v>526</v>
      </c>
      <c r="B528" t="s">
        <v>1127</v>
      </c>
      <c r="C528" t="s">
        <v>1389</v>
      </c>
      <c r="D528" s="1" t="s">
        <v>1128</v>
      </c>
      <c r="E528">
        <v>3.5</v>
      </c>
      <c r="F528" s="1" t="s">
        <v>1129</v>
      </c>
      <c r="G528" t="s">
        <v>193</v>
      </c>
      <c r="H528" t="s">
        <v>193</v>
      </c>
      <c r="I528" t="s">
        <v>107</v>
      </c>
      <c r="J528">
        <v>2003</v>
      </c>
      <c r="K528" t="s">
        <v>21</v>
      </c>
      <c r="L528" t="s">
        <v>33</v>
      </c>
      <c r="M528" t="s">
        <v>34</v>
      </c>
      <c r="N528" t="s">
        <v>41</v>
      </c>
      <c r="O528">
        <v>-1</v>
      </c>
    </row>
    <row r="529" spans="1:15" ht="409.6" x14ac:dyDescent="0.3">
      <c r="A529">
        <v>527</v>
      </c>
      <c r="B529" t="s">
        <v>26</v>
      </c>
      <c r="C529" t="s">
        <v>1389</v>
      </c>
      <c r="D529" s="1" t="s">
        <v>1428</v>
      </c>
      <c r="E529">
        <v>2.7</v>
      </c>
      <c r="F529" s="1" t="s">
        <v>1429</v>
      </c>
      <c r="G529" t="s">
        <v>19</v>
      </c>
      <c r="H529" t="s">
        <v>1430</v>
      </c>
      <c r="I529" t="s">
        <v>20</v>
      </c>
      <c r="J529">
        <v>1976</v>
      </c>
      <c r="K529" t="s">
        <v>32</v>
      </c>
      <c r="L529" t="s">
        <v>1431</v>
      </c>
      <c r="M529" t="s">
        <v>34</v>
      </c>
      <c r="N529" t="s">
        <v>35</v>
      </c>
      <c r="O529">
        <v>-1</v>
      </c>
    </row>
    <row r="530" spans="1:15" ht="409.6" x14ac:dyDescent="0.3">
      <c r="A530">
        <v>528</v>
      </c>
      <c r="B530" t="s">
        <v>26</v>
      </c>
      <c r="C530" t="s">
        <v>1389</v>
      </c>
      <c r="D530" s="1" t="s">
        <v>1432</v>
      </c>
      <c r="E530">
        <v>3.5</v>
      </c>
      <c r="F530" s="1" t="s">
        <v>1433</v>
      </c>
      <c r="G530" t="s">
        <v>111</v>
      </c>
      <c r="H530" t="s">
        <v>405</v>
      </c>
      <c r="I530" t="s">
        <v>52</v>
      </c>
      <c r="J530">
        <v>2012</v>
      </c>
      <c r="K530" t="s">
        <v>53</v>
      </c>
      <c r="L530" t="s">
        <v>40</v>
      </c>
      <c r="M530" t="s">
        <v>34</v>
      </c>
      <c r="N530" t="s">
        <v>164</v>
      </c>
      <c r="O530">
        <v>-1</v>
      </c>
    </row>
    <row r="531" spans="1:15" ht="409.6" x14ac:dyDescent="0.3">
      <c r="A531">
        <v>529</v>
      </c>
      <c r="B531" t="s">
        <v>376</v>
      </c>
      <c r="C531" t="s">
        <v>1434</v>
      </c>
      <c r="D531" s="1" t="s">
        <v>377</v>
      </c>
      <c r="E531">
        <v>4.9000000000000004</v>
      </c>
      <c r="F531" s="1" t="s">
        <v>378</v>
      </c>
      <c r="G531" t="s">
        <v>379</v>
      </c>
      <c r="H531" t="s">
        <v>83</v>
      </c>
      <c r="I531" t="s">
        <v>117</v>
      </c>
      <c r="J531">
        <v>2016</v>
      </c>
      <c r="K531" t="s">
        <v>53</v>
      </c>
      <c r="L531" t="s">
        <v>286</v>
      </c>
      <c r="M531" t="s">
        <v>34</v>
      </c>
      <c r="N531" t="s">
        <v>24</v>
      </c>
      <c r="O531">
        <v>-1</v>
      </c>
    </row>
    <row r="532" spans="1:15" ht="28.8" x14ac:dyDescent="0.3">
      <c r="A532">
        <v>530</v>
      </c>
      <c r="B532" t="s">
        <v>26</v>
      </c>
      <c r="C532" t="s">
        <v>1434</v>
      </c>
      <c r="D532" t="s">
        <v>369</v>
      </c>
      <c r="E532">
        <v>3.6</v>
      </c>
      <c r="F532" s="1" t="s">
        <v>370</v>
      </c>
      <c r="G532" t="s">
        <v>111</v>
      </c>
      <c r="H532" t="s">
        <v>371</v>
      </c>
      <c r="I532" t="s">
        <v>52</v>
      </c>
      <c r="J532">
        <v>2001</v>
      </c>
      <c r="K532" t="s">
        <v>53</v>
      </c>
      <c r="L532" t="s">
        <v>92</v>
      </c>
      <c r="M532" t="s">
        <v>60</v>
      </c>
      <c r="N532" t="s">
        <v>164</v>
      </c>
      <c r="O532">
        <v>-1</v>
      </c>
    </row>
    <row r="533" spans="1:15" ht="409.6" x14ac:dyDescent="0.3">
      <c r="A533">
        <v>531</v>
      </c>
      <c r="B533" t="s">
        <v>26</v>
      </c>
      <c r="C533" t="s">
        <v>1434</v>
      </c>
      <c r="D533" s="1" t="s">
        <v>1435</v>
      </c>
      <c r="E533">
        <v>5</v>
      </c>
      <c r="F533" s="1" t="s">
        <v>1436</v>
      </c>
      <c r="G533" t="s">
        <v>111</v>
      </c>
      <c r="H533" t="s">
        <v>1262</v>
      </c>
      <c r="I533" t="s">
        <v>117</v>
      </c>
      <c r="J533">
        <v>-1</v>
      </c>
      <c r="K533" t="s">
        <v>53</v>
      </c>
      <c r="L533">
        <v>-1</v>
      </c>
      <c r="M533">
        <v>-1</v>
      </c>
      <c r="N533" t="s">
        <v>24</v>
      </c>
      <c r="O533">
        <v>-1</v>
      </c>
    </row>
    <row r="534" spans="1:15" ht="409.6" x14ac:dyDescent="0.3">
      <c r="A534">
        <v>532</v>
      </c>
      <c r="B534" t="s">
        <v>26</v>
      </c>
      <c r="C534" t="s">
        <v>1434</v>
      </c>
      <c r="D534" s="1" t="s">
        <v>1134</v>
      </c>
      <c r="E534">
        <v>3.1</v>
      </c>
      <c r="F534" s="1" t="s">
        <v>1135</v>
      </c>
      <c r="G534" t="s">
        <v>511</v>
      </c>
      <c r="H534" t="s">
        <v>869</v>
      </c>
      <c r="I534" t="s">
        <v>117</v>
      </c>
      <c r="J534">
        <v>2001</v>
      </c>
      <c r="K534" t="s">
        <v>53</v>
      </c>
      <c r="L534" t="s">
        <v>286</v>
      </c>
      <c r="M534" t="s">
        <v>34</v>
      </c>
      <c r="N534" t="s">
        <v>212</v>
      </c>
      <c r="O534">
        <v>-1</v>
      </c>
    </row>
    <row r="535" spans="1:15" ht="409.6" x14ac:dyDescent="0.3">
      <c r="A535">
        <v>533</v>
      </c>
      <c r="B535" t="s">
        <v>499</v>
      </c>
      <c r="C535" t="s">
        <v>1434</v>
      </c>
      <c r="D535" s="1" t="s">
        <v>1437</v>
      </c>
      <c r="E535">
        <v>3.9</v>
      </c>
      <c r="F535" s="1" t="s">
        <v>1438</v>
      </c>
      <c r="G535" t="s">
        <v>143</v>
      </c>
      <c r="H535" t="s">
        <v>143</v>
      </c>
      <c r="I535" t="s">
        <v>46</v>
      </c>
      <c r="J535">
        <v>2009</v>
      </c>
      <c r="K535" t="s">
        <v>53</v>
      </c>
      <c r="L535" t="s">
        <v>123</v>
      </c>
      <c r="M535" t="s">
        <v>60</v>
      </c>
      <c r="N535" t="s">
        <v>24</v>
      </c>
      <c r="O535">
        <v>-1</v>
      </c>
    </row>
    <row r="536" spans="1:15" ht="409.6" x14ac:dyDescent="0.3">
      <c r="A536">
        <v>534</v>
      </c>
      <c r="B536" t="s">
        <v>26</v>
      </c>
      <c r="C536" t="s">
        <v>1434</v>
      </c>
      <c r="D536" s="1" t="s">
        <v>1439</v>
      </c>
      <c r="E536">
        <v>3.4</v>
      </c>
      <c r="F536" s="1" t="s">
        <v>1440</v>
      </c>
      <c r="G536" t="s">
        <v>1441</v>
      </c>
      <c r="H536" t="s">
        <v>168</v>
      </c>
      <c r="I536" t="s">
        <v>52</v>
      </c>
      <c r="J536">
        <v>1986</v>
      </c>
      <c r="K536" t="s">
        <v>53</v>
      </c>
      <c r="L536" t="s">
        <v>92</v>
      </c>
      <c r="M536" t="s">
        <v>60</v>
      </c>
      <c r="N536" t="s">
        <v>164</v>
      </c>
      <c r="O536">
        <v>-1</v>
      </c>
    </row>
    <row r="537" spans="1:15" ht="409.6" x14ac:dyDescent="0.3">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ht="409.6" x14ac:dyDescent="0.3">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v>-1</v>
      </c>
    </row>
    <row r="539" spans="1:15" ht="409.6" x14ac:dyDescent="0.3">
      <c r="A539">
        <v>537</v>
      </c>
      <c r="B539" t="s">
        <v>1136</v>
      </c>
      <c r="C539" t="s">
        <v>1434</v>
      </c>
      <c r="D539" s="1" t="s">
        <v>1137</v>
      </c>
      <c r="E539">
        <v>3.5</v>
      </c>
      <c r="F539" s="1" t="s">
        <v>1138</v>
      </c>
      <c r="G539" t="s">
        <v>420</v>
      </c>
      <c r="H539" t="s">
        <v>420</v>
      </c>
      <c r="I539" t="s">
        <v>107</v>
      </c>
      <c r="J539">
        <v>2011</v>
      </c>
      <c r="K539" t="s">
        <v>53</v>
      </c>
      <c r="L539" t="s">
        <v>1139</v>
      </c>
      <c r="M539" t="s">
        <v>968</v>
      </c>
      <c r="N539" t="s">
        <v>24</v>
      </c>
      <c r="O539">
        <v>-1</v>
      </c>
    </row>
    <row r="540" spans="1:15" ht="409.6" x14ac:dyDescent="0.3">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ht="409.6" x14ac:dyDescent="0.3">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v>-1</v>
      </c>
    </row>
    <row r="542" spans="1:15" ht="43.2" x14ac:dyDescent="0.3">
      <c r="A542">
        <v>540</v>
      </c>
      <c r="B542" t="s">
        <v>26</v>
      </c>
      <c r="C542" t="s">
        <v>1434</v>
      </c>
      <c r="D542" t="s">
        <v>1140</v>
      </c>
      <c r="E542">
        <v>3.8</v>
      </c>
      <c r="F542" s="1" t="s">
        <v>1141</v>
      </c>
      <c r="G542" t="s">
        <v>1114</v>
      </c>
      <c r="H542" t="s">
        <v>1142</v>
      </c>
      <c r="I542" t="s">
        <v>20</v>
      </c>
      <c r="J542">
        <v>1999</v>
      </c>
      <c r="K542" t="s">
        <v>53</v>
      </c>
      <c r="L542" t="s">
        <v>92</v>
      </c>
      <c r="M542" t="s">
        <v>60</v>
      </c>
      <c r="N542" t="s">
        <v>194</v>
      </c>
      <c r="O542">
        <v>-1</v>
      </c>
    </row>
    <row r="543" spans="1:15" ht="409.6" x14ac:dyDescent="0.3">
      <c r="A543">
        <v>541</v>
      </c>
      <c r="B543" t="s">
        <v>26</v>
      </c>
      <c r="C543" t="s">
        <v>1434</v>
      </c>
      <c r="D543" s="1" t="s">
        <v>1143</v>
      </c>
      <c r="E543">
        <v>3.7</v>
      </c>
      <c r="F543" s="1" t="s">
        <v>1144</v>
      </c>
      <c r="G543" t="s">
        <v>178</v>
      </c>
      <c r="H543" t="s">
        <v>1036</v>
      </c>
      <c r="I543" t="s">
        <v>31</v>
      </c>
      <c r="J543">
        <v>1908</v>
      </c>
      <c r="K543" t="s">
        <v>301</v>
      </c>
      <c r="L543" t="s">
        <v>99</v>
      </c>
      <c r="M543" t="s">
        <v>100</v>
      </c>
      <c r="N543" t="s">
        <v>24</v>
      </c>
      <c r="O543" t="s">
        <v>1145</v>
      </c>
    </row>
    <row r="544" spans="1:15" ht="409.6" x14ac:dyDescent="0.3">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ht="409.6" x14ac:dyDescent="0.3">
      <c r="A545">
        <v>543</v>
      </c>
      <c r="B545" t="s">
        <v>26</v>
      </c>
      <c r="C545" t="s">
        <v>1434</v>
      </c>
      <c r="D545" s="1" t="s">
        <v>1454</v>
      </c>
      <c r="E545">
        <v>3.9</v>
      </c>
      <c r="F545" s="1" t="s">
        <v>1455</v>
      </c>
      <c r="G545" t="s">
        <v>1456</v>
      </c>
      <c r="H545" t="s">
        <v>415</v>
      </c>
      <c r="I545" t="s">
        <v>46</v>
      </c>
      <c r="J545">
        <v>2006</v>
      </c>
      <c r="K545" t="s">
        <v>53</v>
      </c>
      <c r="L545" t="s">
        <v>92</v>
      </c>
      <c r="M545" t="s">
        <v>60</v>
      </c>
      <c r="N545" t="s">
        <v>164</v>
      </c>
      <c r="O545">
        <v>-1</v>
      </c>
    </row>
    <row r="546" spans="1:15" ht="409.6" x14ac:dyDescent="0.3">
      <c r="A546">
        <v>544</v>
      </c>
      <c r="B546" t="s">
        <v>773</v>
      </c>
      <c r="C546" t="s">
        <v>1434</v>
      </c>
      <c r="D546" s="1" t="s">
        <v>774</v>
      </c>
      <c r="E546">
        <v>3.7</v>
      </c>
      <c r="F546" s="1" t="s">
        <v>670</v>
      </c>
      <c r="G546" t="s">
        <v>38</v>
      </c>
      <c r="H546" t="s">
        <v>671</v>
      </c>
      <c r="I546" t="s">
        <v>31</v>
      </c>
      <c r="J546">
        <v>1851</v>
      </c>
      <c r="K546" t="s">
        <v>53</v>
      </c>
      <c r="L546" t="s">
        <v>22</v>
      </c>
      <c r="M546" t="s">
        <v>23</v>
      </c>
      <c r="N546" t="s">
        <v>68</v>
      </c>
      <c r="O546">
        <v>-1</v>
      </c>
    </row>
    <row r="547" spans="1:15" ht="409.6" x14ac:dyDescent="0.3">
      <c r="A547">
        <v>545</v>
      </c>
      <c r="B547" t="s">
        <v>26</v>
      </c>
      <c r="C547" t="s">
        <v>1434</v>
      </c>
      <c r="D547" s="1" t="s">
        <v>1457</v>
      </c>
      <c r="E547">
        <v>2.9</v>
      </c>
      <c r="F547" s="1" t="s">
        <v>1458</v>
      </c>
      <c r="G547" t="s">
        <v>111</v>
      </c>
      <c r="H547" t="s">
        <v>415</v>
      </c>
      <c r="I547" t="s">
        <v>46</v>
      </c>
      <c r="J547">
        <v>-1</v>
      </c>
      <c r="K547" t="s">
        <v>1149</v>
      </c>
      <c r="L547" t="s">
        <v>92</v>
      </c>
      <c r="M547" t="s">
        <v>60</v>
      </c>
      <c r="N547" t="s">
        <v>164</v>
      </c>
      <c r="O547">
        <v>-1</v>
      </c>
    </row>
    <row r="548" spans="1:15" ht="57.6" x14ac:dyDescent="0.3">
      <c r="A548">
        <v>546</v>
      </c>
      <c r="B548" t="s">
        <v>26</v>
      </c>
      <c r="C548" t="s">
        <v>1434</v>
      </c>
      <c r="D548" t="s">
        <v>1459</v>
      </c>
      <c r="E548">
        <v>4.5999999999999996</v>
      </c>
      <c r="F548" s="1" t="s">
        <v>1460</v>
      </c>
      <c r="G548" t="s">
        <v>19</v>
      </c>
      <c r="H548" t="s">
        <v>1461</v>
      </c>
      <c r="I548" t="s">
        <v>52</v>
      </c>
      <c r="J548">
        <v>2012</v>
      </c>
      <c r="K548" t="s">
        <v>53</v>
      </c>
      <c r="L548" t="s">
        <v>92</v>
      </c>
      <c r="M548" t="s">
        <v>60</v>
      </c>
      <c r="N548" t="s">
        <v>24</v>
      </c>
      <c r="O548">
        <v>-1</v>
      </c>
    </row>
    <row r="549" spans="1:15" ht="409.6" x14ac:dyDescent="0.3">
      <c r="A549">
        <v>547</v>
      </c>
      <c r="B549" t="s">
        <v>26</v>
      </c>
      <c r="C549" t="s">
        <v>1434</v>
      </c>
      <c r="D549" s="1" t="s">
        <v>1462</v>
      </c>
      <c r="E549">
        <v>3.4</v>
      </c>
      <c r="F549" s="1" t="s">
        <v>1463</v>
      </c>
      <c r="G549" t="s">
        <v>178</v>
      </c>
      <c r="H549" t="s">
        <v>716</v>
      </c>
      <c r="I549" t="s">
        <v>107</v>
      </c>
      <c r="J549">
        <v>1997</v>
      </c>
      <c r="K549" t="s">
        <v>53</v>
      </c>
      <c r="L549" t="s">
        <v>84</v>
      </c>
      <c r="M549" t="s">
        <v>60</v>
      </c>
      <c r="N549" t="s">
        <v>160</v>
      </c>
      <c r="O549">
        <v>-1</v>
      </c>
    </row>
    <row r="550" spans="1:15" ht="409.6" x14ac:dyDescent="0.3">
      <c r="A550">
        <v>548</v>
      </c>
      <c r="B550" t="s">
        <v>1150</v>
      </c>
      <c r="C550" t="s">
        <v>1434</v>
      </c>
      <c r="D550" s="1" t="s">
        <v>1151</v>
      </c>
      <c r="E550">
        <v>4</v>
      </c>
      <c r="F550" s="1" t="s">
        <v>1152</v>
      </c>
      <c r="G550" t="s">
        <v>357</v>
      </c>
      <c r="H550" t="s">
        <v>357</v>
      </c>
      <c r="I550" t="s">
        <v>66</v>
      </c>
      <c r="J550">
        <v>1853</v>
      </c>
      <c r="K550" t="s">
        <v>32</v>
      </c>
      <c r="L550" t="s">
        <v>22</v>
      </c>
      <c r="M550" t="s">
        <v>23</v>
      </c>
      <c r="N550" t="s">
        <v>68</v>
      </c>
      <c r="O550">
        <v>-1</v>
      </c>
    </row>
    <row r="551" spans="1:15" ht="409.6" x14ac:dyDescent="0.3">
      <c r="A551">
        <v>549</v>
      </c>
      <c r="B551" t="s">
        <v>359</v>
      </c>
      <c r="C551" t="s">
        <v>1464</v>
      </c>
      <c r="D551" s="1" t="s">
        <v>360</v>
      </c>
      <c r="E551">
        <v>3.3</v>
      </c>
      <c r="F551" s="1" t="s">
        <v>361</v>
      </c>
      <c r="G551" t="s">
        <v>362</v>
      </c>
      <c r="H551" t="s">
        <v>362</v>
      </c>
      <c r="I551" t="s">
        <v>107</v>
      </c>
      <c r="J551">
        <v>2003</v>
      </c>
      <c r="K551" t="s">
        <v>32</v>
      </c>
      <c r="L551" t="s">
        <v>67</v>
      </c>
      <c r="M551" t="s">
        <v>67</v>
      </c>
      <c r="N551" t="s">
        <v>41</v>
      </c>
      <c r="O551">
        <v>-1</v>
      </c>
    </row>
    <row r="552" spans="1:15" ht="409.6" x14ac:dyDescent="0.3">
      <c r="A552">
        <v>550</v>
      </c>
      <c r="B552" t="s">
        <v>26</v>
      </c>
      <c r="C552" t="s">
        <v>1464</v>
      </c>
      <c r="D552" s="1" t="s">
        <v>380</v>
      </c>
      <c r="E552">
        <v>4.3</v>
      </c>
      <c r="F552" s="1" t="s">
        <v>381</v>
      </c>
      <c r="G552" t="s">
        <v>382</v>
      </c>
      <c r="H552" t="s">
        <v>382</v>
      </c>
      <c r="I552" t="s">
        <v>52</v>
      </c>
      <c r="J552">
        <v>1999</v>
      </c>
      <c r="K552" t="s">
        <v>53</v>
      </c>
      <c r="L552" t="s">
        <v>59</v>
      </c>
      <c r="M552" t="s">
        <v>60</v>
      </c>
      <c r="N552" t="s">
        <v>164</v>
      </c>
      <c r="O552">
        <v>-1</v>
      </c>
    </row>
    <row r="553" spans="1:15" ht="409.6" x14ac:dyDescent="0.3">
      <c r="A553">
        <v>551</v>
      </c>
      <c r="B553" t="s">
        <v>240</v>
      </c>
      <c r="C553" t="s">
        <v>1464</v>
      </c>
      <c r="D553" s="1" t="s">
        <v>1465</v>
      </c>
      <c r="E553">
        <v>3.9</v>
      </c>
      <c r="F553" s="1" t="s">
        <v>1438</v>
      </c>
      <c r="G553" t="s">
        <v>143</v>
      </c>
      <c r="H553" t="s">
        <v>143</v>
      </c>
      <c r="I553" t="s">
        <v>46</v>
      </c>
      <c r="J553">
        <v>2009</v>
      </c>
      <c r="K553" t="s">
        <v>53</v>
      </c>
      <c r="L553" t="s">
        <v>123</v>
      </c>
      <c r="M553" t="s">
        <v>60</v>
      </c>
      <c r="N553" t="s">
        <v>24</v>
      </c>
      <c r="O553">
        <v>-1</v>
      </c>
    </row>
    <row r="554" spans="1:15" ht="409.6" x14ac:dyDescent="0.3">
      <c r="A554">
        <v>552</v>
      </c>
      <c r="B554" t="s">
        <v>1153</v>
      </c>
      <c r="C554" t="s">
        <v>1464</v>
      </c>
      <c r="D554" s="1" t="s">
        <v>1154</v>
      </c>
      <c r="E554">
        <v>3.6</v>
      </c>
      <c r="F554" s="1" t="s">
        <v>1155</v>
      </c>
      <c r="G554" t="s">
        <v>143</v>
      </c>
      <c r="H554" t="s">
        <v>143</v>
      </c>
      <c r="I554" t="s">
        <v>20</v>
      </c>
      <c r="J554">
        <v>2011</v>
      </c>
      <c r="K554" t="s">
        <v>301</v>
      </c>
      <c r="L554" t="s">
        <v>123</v>
      </c>
      <c r="M554" t="s">
        <v>60</v>
      </c>
      <c r="N554" t="s">
        <v>24</v>
      </c>
      <c r="O554">
        <v>-1</v>
      </c>
    </row>
    <row r="555" spans="1:15" ht="409.6" x14ac:dyDescent="0.3">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ht="409.6" x14ac:dyDescent="0.3">
      <c r="A556">
        <v>554</v>
      </c>
      <c r="B556" t="s">
        <v>1159</v>
      </c>
      <c r="C556" t="s">
        <v>1464</v>
      </c>
      <c r="D556" s="1" t="s">
        <v>1160</v>
      </c>
      <c r="E556">
        <v>3.6</v>
      </c>
      <c r="F556" s="1" t="s">
        <v>1161</v>
      </c>
      <c r="G556" t="s">
        <v>64</v>
      </c>
      <c r="H556" t="s">
        <v>64</v>
      </c>
      <c r="I556" t="s">
        <v>31</v>
      </c>
      <c r="J556">
        <v>1978</v>
      </c>
      <c r="K556" t="s">
        <v>32</v>
      </c>
      <c r="L556" t="s">
        <v>67</v>
      </c>
      <c r="M556" t="s">
        <v>67</v>
      </c>
      <c r="N556" t="s">
        <v>68</v>
      </c>
      <c r="O556">
        <v>-1</v>
      </c>
    </row>
    <row r="557" spans="1:15" ht="409.6" x14ac:dyDescent="0.3">
      <c r="A557">
        <v>555</v>
      </c>
      <c r="B557" t="s">
        <v>26</v>
      </c>
      <c r="C557" t="s">
        <v>1464</v>
      </c>
      <c r="D557" s="1" t="s">
        <v>1162</v>
      </c>
      <c r="E557">
        <v>-1</v>
      </c>
      <c r="F557" t="s">
        <v>1163</v>
      </c>
      <c r="G557" t="s">
        <v>143</v>
      </c>
      <c r="H557">
        <v>-1</v>
      </c>
      <c r="I557">
        <v>-1</v>
      </c>
      <c r="J557">
        <v>-1</v>
      </c>
      <c r="K557">
        <v>-1</v>
      </c>
      <c r="L557">
        <v>-1</v>
      </c>
      <c r="M557">
        <v>-1</v>
      </c>
      <c r="N557">
        <v>-1</v>
      </c>
      <c r="O557">
        <v>-1</v>
      </c>
    </row>
    <row r="558" spans="1:15" ht="409.6" x14ac:dyDescent="0.3">
      <c r="A558">
        <v>556</v>
      </c>
      <c r="B558" t="s">
        <v>775</v>
      </c>
      <c r="C558" t="s">
        <v>1464</v>
      </c>
      <c r="D558" s="1" t="s">
        <v>776</v>
      </c>
      <c r="E558">
        <v>3.3</v>
      </c>
      <c r="F558" s="1" t="s">
        <v>315</v>
      </c>
      <c r="G558" t="s">
        <v>328</v>
      </c>
      <c r="H558" t="s">
        <v>83</v>
      </c>
      <c r="I558" t="s">
        <v>46</v>
      </c>
      <c r="J558">
        <v>2015</v>
      </c>
      <c r="K558" t="s">
        <v>53</v>
      </c>
      <c r="L558" t="s">
        <v>67</v>
      </c>
      <c r="M558" t="s">
        <v>67</v>
      </c>
      <c r="N558" t="s">
        <v>24</v>
      </c>
      <c r="O558">
        <v>-1</v>
      </c>
    </row>
    <row r="559" spans="1:15" ht="409.6" x14ac:dyDescent="0.3">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ht="409.6" x14ac:dyDescent="0.3">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ht="409.6" x14ac:dyDescent="0.3">
      <c r="A561">
        <v>559</v>
      </c>
      <c r="B561" t="s">
        <v>26</v>
      </c>
      <c r="C561" t="s">
        <v>1464</v>
      </c>
      <c r="D561" s="1" t="s">
        <v>1479</v>
      </c>
      <c r="E561">
        <v>4.5</v>
      </c>
      <c r="F561" s="1" t="s">
        <v>1480</v>
      </c>
      <c r="G561" t="s">
        <v>29</v>
      </c>
      <c r="H561" t="s">
        <v>178</v>
      </c>
      <c r="I561" t="s">
        <v>46</v>
      </c>
      <c r="J561">
        <v>2004</v>
      </c>
      <c r="K561" t="s">
        <v>53</v>
      </c>
      <c r="L561" t="s">
        <v>40</v>
      </c>
      <c r="M561" t="s">
        <v>34</v>
      </c>
      <c r="N561" t="s">
        <v>24</v>
      </c>
      <c r="O561">
        <v>-1</v>
      </c>
    </row>
    <row r="562" spans="1:15" ht="409.6" x14ac:dyDescent="0.3">
      <c r="A562">
        <v>560</v>
      </c>
      <c r="B562" t="s">
        <v>189</v>
      </c>
      <c r="C562" t="s">
        <v>1464</v>
      </c>
      <c r="D562" s="1" t="s">
        <v>1173</v>
      </c>
      <c r="E562">
        <v>4.5</v>
      </c>
      <c r="F562" s="1" t="s">
        <v>177</v>
      </c>
      <c r="G562" t="s">
        <v>179</v>
      </c>
      <c r="H562" t="s">
        <v>179</v>
      </c>
      <c r="I562" t="s">
        <v>52</v>
      </c>
      <c r="J562">
        <v>2005</v>
      </c>
      <c r="K562" t="s">
        <v>53</v>
      </c>
      <c r="L562" t="s">
        <v>118</v>
      </c>
      <c r="M562" t="s">
        <v>98</v>
      </c>
      <c r="N562" t="s">
        <v>164</v>
      </c>
      <c r="O562">
        <v>-1</v>
      </c>
    </row>
    <row r="563" spans="1:15" ht="409.6" x14ac:dyDescent="0.3">
      <c r="A563">
        <v>561</v>
      </c>
      <c r="B563" t="s">
        <v>1481</v>
      </c>
      <c r="C563" t="s">
        <v>1464</v>
      </c>
      <c r="D563" s="1" t="s">
        <v>1482</v>
      </c>
      <c r="E563">
        <v>3.4</v>
      </c>
      <c r="F563" s="1" t="s">
        <v>1483</v>
      </c>
      <c r="G563" t="s">
        <v>29</v>
      </c>
      <c r="H563" t="s">
        <v>30</v>
      </c>
      <c r="I563" t="s">
        <v>20</v>
      </c>
      <c r="J563">
        <v>2017</v>
      </c>
      <c r="K563" t="s">
        <v>53</v>
      </c>
      <c r="L563" t="s">
        <v>175</v>
      </c>
      <c r="M563" t="s">
        <v>175</v>
      </c>
      <c r="N563" t="s">
        <v>35</v>
      </c>
      <c r="O563">
        <v>-1</v>
      </c>
    </row>
    <row r="564" spans="1:15" ht="409.6" x14ac:dyDescent="0.3">
      <c r="A564">
        <v>562</v>
      </c>
      <c r="B564" t="s">
        <v>240</v>
      </c>
      <c r="C564" t="s">
        <v>1464</v>
      </c>
      <c r="D564" s="1" t="s">
        <v>1484</v>
      </c>
      <c r="E564">
        <v>3.1</v>
      </c>
      <c r="F564" s="1" t="s">
        <v>1485</v>
      </c>
      <c r="G564" t="s">
        <v>83</v>
      </c>
      <c r="H564" t="s">
        <v>1486</v>
      </c>
      <c r="I564" t="s">
        <v>20</v>
      </c>
      <c r="J564">
        <v>1974</v>
      </c>
      <c r="K564" t="s">
        <v>53</v>
      </c>
      <c r="L564" t="s">
        <v>286</v>
      </c>
      <c r="M564" t="s">
        <v>34</v>
      </c>
      <c r="N564" t="s">
        <v>101</v>
      </c>
      <c r="O564">
        <v>-1</v>
      </c>
    </row>
    <row r="565" spans="1:15" ht="409.6" x14ac:dyDescent="0.3">
      <c r="A565">
        <v>563</v>
      </c>
      <c r="B565" t="s">
        <v>1487</v>
      </c>
      <c r="C565" t="s">
        <v>1464</v>
      </c>
      <c r="D565" s="1" t="s">
        <v>1488</v>
      </c>
      <c r="E565">
        <v>4</v>
      </c>
      <c r="F565" s="1" t="s">
        <v>331</v>
      </c>
      <c r="G565" t="s">
        <v>143</v>
      </c>
      <c r="H565" t="s">
        <v>332</v>
      </c>
      <c r="I565" t="s">
        <v>31</v>
      </c>
      <c r="J565">
        <v>1982</v>
      </c>
      <c r="K565" t="s">
        <v>32</v>
      </c>
      <c r="L565" t="s">
        <v>59</v>
      </c>
      <c r="M565" t="s">
        <v>60</v>
      </c>
      <c r="N565" t="s">
        <v>79</v>
      </c>
      <c r="O565">
        <v>-1</v>
      </c>
    </row>
    <row r="566" spans="1:15" ht="409.6" x14ac:dyDescent="0.3">
      <c r="A566">
        <v>564</v>
      </c>
      <c r="B566" t="s">
        <v>1174</v>
      </c>
      <c r="C566" t="s">
        <v>1464</v>
      </c>
      <c r="D566" s="1" t="s">
        <v>1175</v>
      </c>
      <c r="E566">
        <v>3.3</v>
      </c>
      <c r="F566" s="1" t="s">
        <v>315</v>
      </c>
      <c r="G566" t="s">
        <v>83</v>
      </c>
      <c r="H566" t="s">
        <v>83</v>
      </c>
      <c r="I566" t="s">
        <v>46</v>
      </c>
      <c r="J566">
        <v>2015</v>
      </c>
      <c r="K566" t="s">
        <v>53</v>
      </c>
      <c r="L566" t="s">
        <v>67</v>
      </c>
      <c r="M566" t="s">
        <v>67</v>
      </c>
      <c r="N566" t="s">
        <v>24</v>
      </c>
      <c r="O566">
        <v>-1</v>
      </c>
    </row>
    <row r="567" spans="1:15" ht="409.6" x14ac:dyDescent="0.3">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v>-1</v>
      </c>
    </row>
    <row r="568" spans="1:15" ht="409.6" x14ac:dyDescent="0.3">
      <c r="A568">
        <v>566</v>
      </c>
      <c r="B568" t="s">
        <v>1492</v>
      </c>
      <c r="C568" t="s">
        <v>1464</v>
      </c>
      <c r="D568" s="1" t="s">
        <v>1493</v>
      </c>
      <c r="E568">
        <v>4.2</v>
      </c>
      <c r="F568" s="1" t="s">
        <v>167</v>
      </c>
      <c r="G568" t="s">
        <v>168</v>
      </c>
      <c r="H568" t="s">
        <v>168</v>
      </c>
      <c r="I568" t="s">
        <v>52</v>
      </c>
      <c r="J568">
        <v>1996</v>
      </c>
      <c r="K568" t="s">
        <v>53</v>
      </c>
      <c r="L568" t="s">
        <v>169</v>
      </c>
      <c r="M568" t="s">
        <v>170</v>
      </c>
      <c r="N568" t="s">
        <v>41</v>
      </c>
      <c r="O568">
        <v>-1</v>
      </c>
    </row>
    <row r="569" spans="1:15" ht="409.6" x14ac:dyDescent="0.3">
      <c r="A569">
        <v>567</v>
      </c>
      <c r="B569" t="s">
        <v>221</v>
      </c>
      <c r="C569" t="s">
        <v>1464</v>
      </c>
      <c r="D569" s="1" t="s">
        <v>1494</v>
      </c>
      <c r="E569">
        <v>3.9</v>
      </c>
      <c r="F569" s="1" t="s">
        <v>1495</v>
      </c>
      <c r="G569" t="s">
        <v>19</v>
      </c>
      <c r="H569" t="s">
        <v>19</v>
      </c>
      <c r="I569" t="s">
        <v>117</v>
      </c>
      <c r="J569">
        <v>-1</v>
      </c>
      <c r="K569" t="s">
        <v>53</v>
      </c>
      <c r="L569" t="s">
        <v>92</v>
      </c>
      <c r="M569" t="s">
        <v>60</v>
      </c>
      <c r="N569" t="s">
        <v>24</v>
      </c>
      <c r="O569">
        <v>-1</v>
      </c>
    </row>
    <row r="570" spans="1:15" x14ac:dyDescent="0.3">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ht="409.6" x14ac:dyDescent="0.3">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ht="409.6" x14ac:dyDescent="0.3">
      <c r="A572">
        <v>570</v>
      </c>
      <c r="B572" t="s">
        <v>26</v>
      </c>
      <c r="C572" t="s">
        <v>1501</v>
      </c>
      <c r="D572" s="1" t="s">
        <v>395</v>
      </c>
      <c r="E572">
        <v>3.9</v>
      </c>
      <c r="F572" s="1" t="s">
        <v>396</v>
      </c>
      <c r="G572" t="s">
        <v>192</v>
      </c>
      <c r="H572" t="s">
        <v>87</v>
      </c>
      <c r="I572" t="s">
        <v>66</v>
      </c>
      <c r="J572">
        <v>1911</v>
      </c>
      <c r="K572" t="s">
        <v>53</v>
      </c>
      <c r="L572" t="s">
        <v>397</v>
      </c>
      <c r="M572" t="s">
        <v>48</v>
      </c>
      <c r="N572" t="s">
        <v>68</v>
      </c>
      <c r="O572">
        <v>-1</v>
      </c>
    </row>
    <row r="573" spans="1:15" ht="409.6" x14ac:dyDescent="0.3">
      <c r="A573">
        <v>571</v>
      </c>
      <c r="B573" t="s">
        <v>390</v>
      </c>
      <c r="C573" t="s">
        <v>1501</v>
      </c>
      <c r="D573" s="1" t="s">
        <v>391</v>
      </c>
      <c r="E573">
        <v>4.5</v>
      </c>
      <c r="F573" s="1" t="s">
        <v>392</v>
      </c>
      <c r="G573" t="s">
        <v>393</v>
      </c>
      <c r="H573" t="s">
        <v>393</v>
      </c>
      <c r="I573" t="s">
        <v>52</v>
      </c>
      <c r="J573">
        <v>2003</v>
      </c>
      <c r="K573" t="s">
        <v>53</v>
      </c>
      <c r="L573" t="s">
        <v>59</v>
      </c>
      <c r="M573" t="s">
        <v>60</v>
      </c>
      <c r="N573" t="s">
        <v>160</v>
      </c>
      <c r="O573">
        <v>-1</v>
      </c>
    </row>
    <row r="574" spans="1:15" ht="409.6" x14ac:dyDescent="0.3">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ht="409.6" x14ac:dyDescent="0.3">
      <c r="A575">
        <v>573</v>
      </c>
      <c r="B575" t="s">
        <v>1181</v>
      </c>
      <c r="C575" t="s">
        <v>1501</v>
      </c>
      <c r="D575" s="1" t="s">
        <v>1182</v>
      </c>
      <c r="E575">
        <v>3.5</v>
      </c>
      <c r="F575" s="1" t="s">
        <v>472</v>
      </c>
      <c r="G575" t="s">
        <v>30</v>
      </c>
      <c r="H575" t="s">
        <v>473</v>
      </c>
      <c r="I575" t="s">
        <v>31</v>
      </c>
      <c r="J575">
        <v>-1</v>
      </c>
      <c r="K575" t="s">
        <v>32</v>
      </c>
      <c r="L575" t="s">
        <v>175</v>
      </c>
      <c r="M575" t="s">
        <v>175</v>
      </c>
      <c r="N575" t="s">
        <v>79</v>
      </c>
      <c r="O575">
        <v>-1</v>
      </c>
    </row>
    <row r="576" spans="1:15" ht="409.6" x14ac:dyDescent="0.3">
      <c r="A576">
        <v>574</v>
      </c>
      <c r="B576" t="s">
        <v>1183</v>
      </c>
      <c r="C576" t="s">
        <v>1501</v>
      </c>
      <c r="D576" s="1" t="s">
        <v>1184</v>
      </c>
      <c r="E576">
        <v>4</v>
      </c>
      <c r="F576" s="1" t="s">
        <v>1185</v>
      </c>
      <c r="G576" t="s">
        <v>1186</v>
      </c>
      <c r="H576" t="s">
        <v>1186</v>
      </c>
      <c r="I576" t="s">
        <v>20</v>
      </c>
      <c r="J576">
        <v>1974</v>
      </c>
      <c r="K576" t="s">
        <v>53</v>
      </c>
      <c r="L576" t="s">
        <v>175</v>
      </c>
      <c r="M576" t="s">
        <v>175</v>
      </c>
      <c r="N576" t="s">
        <v>41</v>
      </c>
      <c r="O576">
        <v>-1</v>
      </c>
    </row>
    <row r="577" spans="1:15" ht="409.6" x14ac:dyDescent="0.3">
      <c r="A577">
        <v>575</v>
      </c>
      <c r="B577" t="s">
        <v>1187</v>
      </c>
      <c r="C577" t="s">
        <v>1501</v>
      </c>
      <c r="D577" s="1" t="s">
        <v>1188</v>
      </c>
      <c r="E577">
        <v>4.5</v>
      </c>
      <c r="F577" s="1" t="s">
        <v>294</v>
      </c>
      <c r="G577" t="s">
        <v>295</v>
      </c>
      <c r="H577" t="s">
        <v>295</v>
      </c>
      <c r="I577" t="s">
        <v>107</v>
      </c>
      <c r="J577">
        <v>2010</v>
      </c>
      <c r="K577" t="s">
        <v>53</v>
      </c>
      <c r="L577" t="s">
        <v>175</v>
      </c>
      <c r="M577" t="s">
        <v>175</v>
      </c>
      <c r="N577" t="s">
        <v>41</v>
      </c>
      <c r="O577">
        <v>-1</v>
      </c>
    </row>
    <row r="578" spans="1:15" ht="409.6" x14ac:dyDescent="0.3">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ht="409.6" x14ac:dyDescent="0.3">
      <c r="A579">
        <v>577</v>
      </c>
      <c r="B579" t="s">
        <v>1507</v>
      </c>
      <c r="C579" t="s">
        <v>1501</v>
      </c>
      <c r="D579" s="1" t="s">
        <v>1508</v>
      </c>
      <c r="E579">
        <v>3.8</v>
      </c>
      <c r="F579" s="1" t="s">
        <v>1509</v>
      </c>
      <c r="G579" t="s">
        <v>382</v>
      </c>
      <c r="H579" t="s">
        <v>382</v>
      </c>
      <c r="I579" t="s">
        <v>46</v>
      </c>
      <c r="J579">
        <v>-1</v>
      </c>
      <c r="K579" t="s">
        <v>1067</v>
      </c>
      <c r="L579" t="s">
        <v>1068</v>
      </c>
      <c r="M579" t="s">
        <v>1069</v>
      </c>
      <c r="N579" t="s">
        <v>24</v>
      </c>
      <c r="O579">
        <v>-1</v>
      </c>
    </row>
    <row r="580" spans="1:15" ht="409.6" x14ac:dyDescent="0.3">
      <c r="A580">
        <v>578</v>
      </c>
      <c r="B580" t="s">
        <v>1190</v>
      </c>
      <c r="C580" t="s">
        <v>1501</v>
      </c>
      <c r="D580" s="1" t="s">
        <v>1191</v>
      </c>
      <c r="E580">
        <v>3.9</v>
      </c>
      <c r="F580" s="1" t="s">
        <v>1192</v>
      </c>
      <c r="G580" t="s">
        <v>1193</v>
      </c>
      <c r="H580" t="s">
        <v>263</v>
      </c>
      <c r="I580" t="s">
        <v>66</v>
      </c>
      <c r="J580">
        <v>1933</v>
      </c>
      <c r="K580" t="s">
        <v>425</v>
      </c>
      <c r="L580" t="s">
        <v>411</v>
      </c>
      <c r="M580" t="s">
        <v>170</v>
      </c>
      <c r="N580" t="s">
        <v>24</v>
      </c>
      <c r="O580">
        <v>-1</v>
      </c>
    </row>
    <row r="581" spans="1:15" ht="409.6" x14ac:dyDescent="0.3">
      <c r="A581">
        <v>579</v>
      </c>
      <c r="B581" t="s">
        <v>1510</v>
      </c>
      <c r="C581" t="s">
        <v>1501</v>
      </c>
      <c r="D581" s="1" t="s">
        <v>1511</v>
      </c>
      <c r="E581">
        <v>2</v>
      </c>
      <c r="F581" s="1" t="s">
        <v>1512</v>
      </c>
      <c r="G581" t="s">
        <v>1513</v>
      </c>
      <c r="H581" t="s">
        <v>71</v>
      </c>
      <c r="I581" t="s">
        <v>52</v>
      </c>
      <c r="J581">
        <v>-1</v>
      </c>
      <c r="K581" t="s">
        <v>53</v>
      </c>
      <c r="L581" t="s">
        <v>67</v>
      </c>
      <c r="M581" t="s">
        <v>67</v>
      </c>
      <c r="N581" t="s">
        <v>24</v>
      </c>
      <c r="O581">
        <v>-1</v>
      </c>
    </row>
    <row r="582" spans="1:15" ht="409.6" x14ac:dyDescent="0.3">
      <c r="A582">
        <v>580</v>
      </c>
      <c r="B582" t="s">
        <v>1514</v>
      </c>
      <c r="C582" t="s">
        <v>1501</v>
      </c>
      <c r="D582" s="1" t="s">
        <v>1515</v>
      </c>
      <c r="E582">
        <v>4.8</v>
      </c>
      <c r="F582" s="1" t="s">
        <v>1516</v>
      </c>
      <c r="G582" t="s">
        <v>233</v>
      </c>
      <c r="H582" t="s">
        <v>233</v>
      </c>
      <c r="I582" t="s">
        <v>52</v>
      </c>
      <c r="J582">
        <v>2013</v>
      </c>
      <c r="K582" t="s">
        <v>32</v>
      </c>
      <c r="L582" t="s">
        <v>67</v>
      </c>
      <c r="M582" t="s">
        <v>67</v>
      </c>
      <c r="N582" t="s">
        <v>24</v>
      </c>
      <c r="O582">
        <v>-1</v>
      </c>
    </row>
    <row r="583" spans="1:15" ht="409.6" x14ac:dyDescent="0.3">
      <c r="A583">
        <v>581</v>
      </c>
      <c r="B583" t="s">
        <v>1517</v>
      </c>
      <c r="C583" t="s">
        <v>1501</v>
      </c>
      <c r="D583" s="1" t="s">
        <v>1518</v>
      </c>
      <c r="E583">
        <v>3.9</v>
      </c>
      <c r="F583" s="1" t="s">
        <v>1192</v>
      </c>
      <c r="G583" t="s">
        <v>1193</v>
      </c>
      <c r="H583" t="s">
        <v>263</v>
      </c>
      <c r="I583" t="s">
        <v>66</v>
      </c>
      <c r="J583">
        <v>1933</v>
      </c>
      <c r="K583" t="s">
        <v>425</v>
      </c>
      <c r="L583" t="s">
        <v>411</v>
      </c>
      <c r="M583" t="s">
        <v>170</v>
      </c>
      <c r="N583" t="s">
        <v>24</v>
      </c>
      <c r="O583">
        <v>-1</v>
      </c>
    </row>
    <row r="584" spans="1:15" ht="409.6" x14ac:dyDescent="0.3">
      <c r="A584">
        <v>582</v>
      </c>
      <c r="B584" t="s">
        <v>1202</v>
      </c>
      <c r="C584" t="s">
        <v>1501</v>
      </c>
      <c r="D584" s="1" t="s">
        <v>1203</v>
      </c>
      <c r="E584">
        <v>3.3</v>
      </c>
      <c r="F584" s="1" t="s">
        <v>1204</v>
      </c>
      <c r="G584" t="s">
        <v>1205</v>
      </c>
      <c r="H584" t="s">
        <v>1205</v>
      </c>
      <c r="I584" t="s">
        <v>31</v>
      </c>
      <c r="J584">
        <v>1875</v>
      </c>
      <c r="K584" t="s">
        <v>53</v>
      </c>
      <c r="L584" t="s">
        <v>302</v>
      </c>
      <c r="M584" t="s">
        <v>48</v>
      </c>
      <c r="N584" t="s">
        <v>68</v>
      </c>
      <c r="O584">
        <v>-1</v>
      </c>
    </row>
    <row r="585" spans="1:15" ht="409.6" x14ac:dyDescent="0.3">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ht="409.6" x14ac:dyDescent="0.3">
      <c r="A586">
        <v>584</v>
      </c>
      <c r="B586" t="s">
        <v>1206</v>
      </c>
      <c r="C586" t="s">
        <v>1501</v>
      </c>
      <c r="D586" s="1" t="s">
        <v>1207</v>
      </c>
      <c r="E586">
        <v>5</v>
      </c>
      <c r="F586" s="1" t="s">
        <v>1208</v>
      </c>
      <c r="G586" t="s">
        <v>1036</v>
      </c>
      <c r="H586" t="s">
        <v>453</v>
      </c>
      <c r="I586" t="s">
        <v>52</v>
      </c>
      <c r="J586">
        <v>2016</v>
      </c>
      <c r="K586" t="s">
        <v>53</v>
      </c>
      <c r="L586" t="s">
        <v>84</v>
      </c>
      <c r="M586" t="s">
        <v>60</v>
      </c>
      <c r="N586" t="s">
        <v>24</v>
      </c>
      <c r="O586">
        <v>-1</v>
      </c>
    </row>
    <row r="587" spans="1:15" ht="409.6" x14ac:dyDescent="0.3">
      <c r="A587">
        <v>585</v>
      </c>
      <c r="B587" t="s">
        <v>1521</v>
      </c>
      <c r="C587" t="s">
        <v>1501</v>
      </c>
      <c r="D587" s="1" t="s">
        <v>1522</v>
      </c>
      <c r="E587">
        <v>4.4000000000000004</v>
      </c>
      <c r="F587" s="1" t="s">
        <v>1523</v>
      </c>
      <c r="G587" t="s">
        <v>1513</v>
      </c>
      <c r="H587" t="s">
        <v>71</v>
      </c>
      <c r="I587" t="s">
        <v>52</v>
      </c>
      <c r="J587">
        <v>-1</v>
      </c>
      <c r="K587" t="s">
        <v>32</v>
      </c>
      <c r="L587">
        <v>-1</v>
      </c>
      <c r="M587">
        <v>-1</v>
      </c>
      <c r="N587" t="s">
        <v>24</v>
      </c>
      <c r="O587">
        <v>-1</v>
      </c>
    </row>
    <row r="588" spans="1:15" ht="409.6" x14ac:dyDescent="0.3">
      <c r="A588">
        <v>586</v>
      </c>
      <c r="B588" t="s">
        <v>189</v>
      </c>
      <c r="C588" t="s">
        <v>1501</v>
      </c>
      <c r="D588" s="1" t="s">
        <v>1524</v>
      </c>
      <c r="E588">
        <v>3.4</v>
      </c>
      <c r="F588" s="1" t="s">
        <v>159</v>
      </c>
      <c r="G588" t="s">
        <v>83</v>
      </c>
      <c r="H588" t="s">
        <v>83</v>
      </c>
      <c r="I588" t="s">
        <v>52</v>
      </c>
      <c r="J588">
        <v>1992</v>
      </c>
      <c r="K588" t="s">
        <v>53</v>
      </c>
      <c r="L588" t="s">
        <v>54</v>
      </c>
      <c r="M588" t="s">
        <v>34</v>
      </c>
      <c r="N588" t="s">
        <v>160</v>
      </c>
      <c r="O588">
        <v>-1</v>
      </c>
    </row>
    <row r="589" spans="1:15" ht="409.6" x14ac:dyDescent="0.3">
      <c r="A589">
        <v>587</v>
      </c>
      <c r="B589" t="s">
        <v>1525</v>
      </c>
      <c r="C589" t="s">
        <v>1501</v>
      </c>
      <c r="D589" s="1" t="s">
        <v>1526</v>
      </c>
      <c r="E589">
        <v>3.3</v>
      </c>
      <c r="F589" s="1" t="s">
        <v>1527</v>
      </c>
      <c r="G589" t="s">
        <v>1528</v>
      </c>
      <c r="H589" t="s">
        <v>1528</v>
      </c>
      <c r="I589" t="s">
        <v>20</v>
      </c>
      <c r="J589">
        <v>1996</v>
      </c>
      <c r="K589" t="s">
        <v>32</v>
      </c>
      <c r="L589" t="s">
        <v>139</v>
      </c>
      <c r="M589" t="s">
        <v>140</v>
      </c>
      <c r="N589" t="s">
        <v>35</v>
      </c>
      <c r="O589">
        <v>-1</v>
      </c>
    </row>
    <row r="590" spans="1:15" ht="409.6" x14ac:dyDescent="0.3">
      <c r="A590">
        <v>588</v>
      </c>
      <c r="B590" t="s">
        <v>499</v>
      </c>
      <c r="C590" t="s">
        <v>1501</v>
      </c>
      <c r="D590" s="1" t="s">
        <v>1529</v>
      </c>
      <c r="E590">
        <v>2.9</v>
      </c>
      <c r="F590" s="1" t="s">
        <v>51</v>
      </c>
      <c r="G590" t="s">
        <v>19</v>
      </c>
      <c r="H590" t="s">
        <v>19</v>
      </c>
      <c r="I590" t="s">
        <v>52</v>
      </c>
      <c r="J590">
        <v>1998</v>
      </c>
      <c r="K590" t="s">
        <v>53</v>
      </c>
      <c r="L590" t="s">
        <v>54</v>
      </c>
      <c r="M590" t="s">
        <v>34</v>
      </c>
      <c r="N590" t="s">
        <v>24</v>
      </c>
      <c r="O590" t="s">
        <v>55</v>
      </c>
    </row>
    <row r="591" spans="1:15" ht="409.6" x14ac:dyDescent="0.3">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ht="409.6" x14ac:dyDescent="0.3">
      <c r="A592">
        <v>590</v>
      </c>
      <c r="B592" t="s">
        <v>189</v>
      </c>
      <c r="C592" t="s">
        <v>1501</v>
      </c>
      <c r="D592" s="1" t="s">
        <v>1535</v>
      </c>
      <c r="E592">
        <v>3.5</v>
      </c>
      <c r="F592" s="1" t="s">
        <v>472</v>
      </c>
      <c r="G592" t="s">
        <v>178</v>
      </c>
      <c r="H592" t="s">
        <v>473</v>
      </c>
      <c r="I592" t="s">
        <v>31</v>
      </c>
      <c r="J592">
        <v>-1</v>
      </c>
      <c r="K592" t="s">
        <v>32</v>
      </c>
      <c r="L592" t="s">
        <v>175</v>
      </c>
      <c r="M592" t="s">
        <v>175</v>
      </c>
      <c r="N592" t="s">
        <v>79</v>
      </c>
      <c r="O592">
        <v>-1</v>
      </c>
    </row>
    <row r="593" spans="1:15" ht="409.6" x14ac:dyDescent="0.3">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ht="409.6" x14ac:dyDescent="0.3">
      <c r="A594">
        <v>592</v>
      </c>
      <c r="B594" t="s">
        <v>240</v>
      </c>
      <c r="C594" t="s">
        <v>1536</v>
      </c>
      <c r="D594" s="1" t="s">
        <v>439</v>
      </c>
      <c r="E594">
        <v>4</v>
      </c>
      <c r="F594" s="1" t="s">
        <v>331</v>
      </c>
      <c r="G594" t="s">
        <v>143</v>
      </c>
      <c r="H594" t="s">
        <v>332</v>
      </c>
      <c r="I594" t="s">
        <v>31</v>
      </c>
      <c r="J594">
        <v>1982</v>
      </c>
      <c r="K594" t="s">
        <v>32</v>
      </c>
      <c r="L594" t="s">
        <v>59</v>
      </c>
      <c r="M594" t="s">
        <v>60</v>
      </c>
      <c r="N594" t="s">
        <v>79</v>
      </c>
      <c r="O594">
        <v>-1</v>
      </c>
    </row>
    <row r="595" spans="1:15" ht="409.6" x14ac:dyDescent="0.3">
      <c r="A595">
        <v>593</v>
      </c>
      <c r="B595" t="s">
        <v>26</v>
      </c>
      <c r="C595" t="s">
        <v>1536</v>
      </c>
      <c r="D595" s="1" t="s">
        <v>1346</v>
      </c>
      <c r="E595">
        <v>3.4</v>
      </c>
      <c r="F595" s="1" t="s">
        <v>1347</v>
      </c>
      <c r="G595" t="s">
        <v>1348</v>
      </c>
      <c r="H595" t="s">
        <v>1349</v>
      </c>
      <c r="I595" t="s">
        <v>20</v>
      </c>
      <c r="J595">
        <v>1998</v>
      </c>
      <c r="K595" t="s">
        <v>53</v>
      </c>
      <c r="L595" t="s">
        <v>1350</v>
      </c>
      <c r="M595" t="s">
        <v>1351</v>
      </c>
      <c r="N595" t="s">
        <v>41</v>
      </c>
      <c r="O595">
        <v>-1</v>
      </c>
    </row>
    <row r="596" spans="1:15" ht="409.6" x14ac:dyDescent="0.3">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ht="409.6" x14ac:dyDescent="0.3">
      <c r="A597">
        <v>595</v>
      </c>
      <c r="B597" t="s">
        <v>26</v>
      </c>
      <c r="C597" t="s">
        <v>1536</v>
      </c>
      <c r="D597" s="1" t="s">
        <v>1539</v>
      </c>
      <c r="E597">
        <v>3.8</v>
      </c>
      <c r="F597" s="1" t="s">
        <v>1540</v>
      </c>
      <c r="G597" t="s">
        <v>111</v>
      </c>
      <c r="H597" t="s">
        <v>1541</v>
      </c>
      <c r="I597" t="s">
        <v>688</v>
      </c>
      <c r="J597">
        <v>1947</v>
      </c>
      <c r="K597" t="s">
        <v>98</v>
      </c>
      <c r="L597" t="s">
        <v>118</v>
      </c>
      <c r="M597" t="s">
        <v>98</v>
      </c>
      <c r="N597" t="s">
        <v>24</v>
      </c>
      <c r="O597">
        <v>-1</v>
      </c>
    </row>
    <row r="598" spans="1:15" ht="409.6" x14ac:dyDescent="0.3">
      <c r="A598">
        <v>596</v>
      </c>
      <c r="B598" t="s">
        <v>26</v>
      </c>
      <c r="C598" t="s">
        <v>1536</v>
      </c>
      <c r="D598" s="1" t="s">
        <v>1542</v>
      </c>
      <c r="E598">
        <v>4.5</v>
      </c>
      <c r="F598" s="1" t="s">
        <v>1543</v>
      </c>
      <c r="G598" t="s">
        <v>83</v>
      </c>
      <c r="H598" t="s">
        <v>83</v>
      </c>
      <c r="I598" t="s">
        <v>107</v>
      </c>
      <c r="J598">
        <v>2008</v>
      </c>
      <c r="K598" t="s">
        <v>53</v>
      </c>
      <c r="L598" t="s">
        <v>40</v>
      </c>
      <c r="M598" t="s">
        <v>34</v>
      </c>
      <c r="N598" t="s">
        <v>194</v>
      </c>
      <c r="O598">
        <v>-1</v>
      </c>
    </row>
    <row r="599" spans="1:15" ht="409.6" x14ac:dyDescent="0.3">
      <c r="A599">
        <v>597</v>
      </c>
      <c r="B599" t="s">
        <v>26</v>
      </c>
      <c r="C599" t="s">
        <v>1536</v>
      </c>
      <c r="D599" s="1" t="s">
        <v>1544</v>
      </c>
      <c r="E599">
        <v>4.3</v>
      </c>
      <c r="F599" s="1" t="s">
        <v>1545</v>
      </c>
      <c r="G599" t="s">
        <v>374</v>
      </c>
      <c r="H599" t="s">
        <v>374</v>
      </c>
      <c r="I599" t="s">
        <v>52</v>
      </c>
      <c r="J599">
        <v>2009</v>
      </c>
      <c r="K599" t="s">
        <v>53</v>
      </c>
      <c r="L599" t="s">
        <v>54</v>
      </c>
      <c r="M599" t="s">
        <v>34</v>
      </c>
      <c r="N599" t="s">
        <v>160</v>
      </c>
      <c r="O599">
        <v>-1</v>
      </c>
    </row>
    <row r="600" spans="1:15" ht="409.6" x14ac:dyDescent="0.3">
      <c r="A600">
        <v>598</v>
      </c>
      <c r="B600" t="s">
        <v>26</v>
      </c>
      <c r="C600" t="s">
        <v>1536</v>
      </c>
      <c r="D600" s="1" t="s">
        <v>1546</v>
      </c>
      <c r="E600">
        <v>3.6</v>
      </c>
      <c r="F600" s="1" t="s">
        <v>1547</v>
      </c>
      <c r="G600" t="s">
        <v>1548</v>
      </c>
      <c r="H600" t="s">
        <v>19</v>
      </c>
      <c r="I600" t="s">
        <v>117</v>
      </c>
      <c r="J600">
        <v>-1</v>
      </c>
      <c r="K600" t="s">
        <v>53</v>
      </c>
      <c r="L600">
        <v>-1</v>
      </c>
      <c r="M600">
        <v>-1</v>
      </c>
      <c r="N600" t="s">
        <v>24</v>
      </c>
      <c r="O600">
        <v>-1</v>
      </c>
    </row>
    <row r="601" spans="1:15" ht="409.6" x14ac:dyDescent="0.3">
      <c r="A601">
        <v>599</v>
      </c>
      <c r="B601" t="s">
        <v>26</v>
      </c>
      <c r="C601" t="s">
        <v>1536</v>
      </c>
      <c r="D601" s="1" t="s">
        <v>1549</v>
      </c>
      <c r="E601">
        <v>2.9</v>
      </c>
      <c r="F601" s="1" t="s">
        <v>1550</v>
      </c>
      <c r="G601" t="s">
        <v>463</v>
      </c>
      <c r="H601" t="s">
        <v>463</v>
      </c>
      <c r="I601" t="s">
        <v>66</v>
      </c>
      <c r="J601">
        <v>2005</v>
      </c>
      <c r="K601" t="s">
        <v>53</v>
      </c>
      <c r="L601" t="s">
        <v>139</v>
      </c>
      <c r="M601" t="s">
        <v>140</v>
      </c>
      <c r="N601" t="s">
        <v>24</v>
      </c>
      <c r="O601">
        <v>-1</v>
      </c>
    </row>
    <row r="602" spans="1:15" ht="409.6" x14ac:dyDescent="0.3">
      <c r="A602">
        <v>600</v>
      </c>
      <c r="B602" t="s">
        <v>26</v>
      </c>
      <c r="C602" t="s">
        <v>1536</v>
      </c>
      <c r="D602" s="1" t="s">
        <v>1356</v>
      </c>
      <c r="E602">
        <v>2.9</v>
      </c>
      <c r="F602" s="1" t="s">
        <v>1357</v>
      </c>
      <c r="G602" t="s">
        <v>192</v>
      </c>
      <c r="H602" t="s">
        <v>415</v>
      </c>
      <c r="I602" t="s">
        <v>107</v>
      </c>
      <c r="J602">
        <v>1985</v>
      </c>
      <c r="K602" t="s">
        <v>53</v>
      </c>
      <c r="L602" t="s">
        <v>92</v>
      </c>
      <c r="M602" t="s">
        <v>60</v>
      </c>
      <c r="N602" t="s">
        <v>41</v>
      </c>
      <c r="O602">
        <v>-1</v>
      </c>
    </row>
    <row r="603" spans="1:15" ht="409.6" x14ac:dyDescent="0.3">
      <c r="A603">
        <v>601</v>
      </c>
      <c r="B603" t="s">
        <v>26</v>
      </c>
      <c r="C603" t="s">
        <v>1536</v>
      </c>
      <c r="D603" s="1" t="s">
        <v>1551</v>
      </c>
      <c r="E603">
        <v>3.2</v>
      </c>
      <c r="F603" s="1" t="s">
        <v>1552</v>
      </c>
      <c r="G603" t="s">
        <v>1553</v>
      </c>
      <c r="H603" t="s">
        <v>1220</v>
      </c>
      <c r="I603" t="s">
        <v>52</v>
      </c>
      <c r="J603">
        <v>2004</v>
      </c>
      <c r="K603" t="s">
        <v>53</v>
      </c>
      <c r="L603" t="s">
        <v>123</v>
      </c>
      <c r="M603" t="s">
        <v>60</v>
      </c>
      <c r="N603" t="s">
        <v>164</v>
      </c>
      <c r="O603">
        <v>-1</v>
      </c>
    </row>
    <row r="604" spans="1:15" ht="409.6" x14ac:dyDescent="0.3">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ht="409.6" x14ac:dyDescent="0.3">
      <c r="A605">
        <v>603</v>
      </c>
      <c r="B605" t="s">
        <v>745</v>
      </c>
      <c r="C605" t="s">
        <v>1536</v>
      </c>
      <c r="D605" s="1" t="s">
        <v>746</v>
      </c>
      <c r="E605">
        <v>5</v>
      </c>
      <c r="F605" s="1" t="s">
        <v>747</v>
      </c>
      <c r="G605" t="s">
        <v>485</v>
      </c>
      <c r="H605" t="s">
        <v>748</v>
      </c>
      <c r="I605" t="s">
        <v>117</v>
      </c>
      <c r="J605">
        <v>2011</v>
      </c>
      <c r="K605" t="s">
        <v>53</v>
      </c>
      <c r="L605" t="s">
        <v>92</v>
      </c>
      <c r="M605" t="s">
        <v>60</v>
      </c>
      <c r="N605" t="s">
        <v>212</v>
      </c>
      <c r="O605">
        <v>-1</v>
      </c>
    </row>
    <row r="606" spans="1:15" ht="409.6" x14ac:dyDescent="0.3">
      <c r="A606">
        <v>604</v>
      </c>
      <c r="B606" t="s">
        <v>26</v>
      </c>
      <c r="C606" t="s">
        <v>1536</v>
      </c>
      <c r="D606" s="1" t="s">
        <v>1359</v>
      </c>
      <c r="E606">
        <v>3.5</v>
      </c>
      <c r="F606" s="1" t="s">
        <v>1360</v>
      </c>
      <c r="G606" t="s">
        <v>1361</v>
      </c>
      <c r="H606" t="s">
        <v>1362</v>
      </c>
      <c r="I606" t="s">
        <v>117</v>
      </c>
      <c r="J606">
        <v>2010</v>
      </c>
      <c r="K606" t="s">
        <v>53</v>
      </c>
      <c r="L606" t="s">
        <v>139</v>
      </c>
      <c r="M606" t="s">
        <v>140</v>
      </c>
      <c r="N606" t="s">
        <v>212</v>
      </c>
      <c r="O606">
        <v>-1</v>
      </c>
    </row>
    <row r="607" spans="1:15" ht="409.6" x14ac:dyDescent="0.3">
      <c r="A607">
        <v>605</v>
      </c>
      <c r="B607" t="s">
        <v>26</v>
      </c>
      <c r="C607" t="s">
        <v>1536</v>
      </c>
      <c r="D607" s="1" t="s">
        <v>1363</v>
      </c>
      <c r="E607">
        <v>4</v>
      </c>
      <c r="F607" s="1" t="s">
        <v>1364</v>
      </c>
      <c r="G607" t="s">
        <v>19</v>
      </c>
      <c r="H607" t="s">
        <v>1365</v>
      </c>
      <c r="I607" t="s">
        <v>117</v>
      </c>
      <c r="J607">
        <v>-1</v>
      </c>
      <c r="K607" t="s">
        <v>53</v>
      </c>
      <c r="L607" t="s">
        <v>1252</v>
      </c>
      <c r="M607" t="s">
        <v>1253</v>
      </c>
      <c r="N607" t="s">
        <v>431</v>
      </c>
      <c r="O607">
        <v>-1</v>
      </c>
    </row>
    <row r="608" spans="1:15" ht="409.6" x14ac:dyDescent="0.3">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v>-1</v>
      </c>
    </row>
    <row r="609" spans="1:15" ht="409.6" x14ac:dyDescent="0.3">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ht="409.6" x14ac:dyDescent="0.3">
      <c r="A610">
        <v>608</v>
      </c>
      <c r="B610" t="s">
        <v>26</v>
      </c>
      <c r="C610" t="s">
        <v>1536</v>
      </c>
      <c r="D610" s="1" t="s">
        <v>1559</v>
      </c>
      <c r="E610">
        <v>3.2</v>
      </c>
      <c r="F610" s="1" t="s">
        <v>1560</v>
      </c>
      <c r="G610" t="s">
        <v>130</v>
      </c>
      <c r="H610" t="s">
        <v>130</v>
      </c>
      <c r="I610" t="s">
        <v>117</v>
      </c>
      <c r="J610">
        <v>-1</v>
      </c>
      <c r="K610" t="s">
        <v>53</v>
      </c>
      <c r="L610" t="s">
        <v>40</v>
      </c>
      <c r="M610" t="s">
        <v>34</v>
      </c>
      <c r="N610" t="s">
        <v>212</v>
      </c>
      <c r="O610">
        <v>-1</v>
      </c>
    </row>
    <row r="611" spans="1:15" ht="409.6" x14ac:dyDescent="0.3">
      <c r="A611">
        <v>609</v>
      </c>
      <c r="B611" t="s">
        <v>26</v>
      </c>
      <c r="C611" t="s">
        <v>1536</v>
      </c>
      <c r="D611" s="1" t="s">
        <v>1561</v>
      </c>
      <c r="E611">
        <v>3.4</v>
      </c>
      <c r="F611" s="1" t="s">
        <v>1562</v>
      </c>
      <c r="G611" t="s">
        <v>610</v>
      </c>
      <c r="H611" t="s">
        <v>610</v>
      </c>
      <c r="I611" t="s">
        <v>52</v>
      </c>
      <c r="J611">
        <v>1985</v>
      </c>
      <c r="K611" t="s">
        <v>53</v>
      </c>
      <c r="L611" t="s">
        <v>175</v>
      </c>
      <c r="M611" t="s">
        <v>175</v>
      </c>
      <c r="N611" t="s">
        <v>164</v>
      </c>
      <c r="O611">
        <v>-1</v>
      </c>
    </row>
    <row r="612" spans="1:15" ht="409.6" x14ac:dyDescent="0.3">
      <c r="A612">
        <v>610</v>
      </c>
      <c r="B612" t="s">
        <v>26</v>
      </c>
      <c r="C612" t="s">
        <v>1536</v>
      </c>
      <c r="D612" s="1" t="s">
        <v>1370</v>
      </c>
      <c r="E612">
        <v>4.7</v>
      </c>
      <c r="F612" s="1" t="s">
        <v>1371</v>
      </c>
      <c r="G612" t="s">
        <v>111</v>
      </c>
      <c r="H612" t="s">
        <v>1372</v>
      </c>
      <c r="I612" t="s">
        <v>117</v>
      </c>
      <c r="J612">
        <v>-1</v>
      </c>
      <c r="K612" t="s">
        <v>53</v>
      </c>
      <c r="L612">
        <v>-1</v>
      </c>
      <c r="M612">
        <v>-1</v>
      </c>
      <c r="N612" t="s">
        <v>212</v>
      </c>
      <c r="O612">
        <v>-1</v>
      </c>
    </row>
    <row r="613" spans="1:15" ht="409.6" x14ac:dyDescent="0.3">
      <c r="A613">
        <v>611</v>
      </c>
      <c r="B613" t="s">
        <v>406</v>
      </c>
      <c r="C613" t="s">
        <v>1563</v>
      </c>
      <c r="D613" s="1" t="s">
        <v>407</v>
      </c>
      <c r="E613">
        <v>3.6</v>
      </c>
      <c r="F613" s="1" t="s">
        <v>408</v>
      </c>
      <c r="G613" t="s">
        <v>409</v>
      </c>
      <c r="H613" t="s">
        <v>410</v>
      </c>
      <c r="I613" t="s">
        <v>107</v>
      </c>
      <c r="J613">
        <v>1997</v>
      </c>
      <c r="K613" t="s">
        <v>53</v>
      </c>
      <c r="L613" t="s">
        <v>411</v>
      </c>
      <c r="M613" t="s">
        <v>170</v>
      </c>
      <c r="N613" t="s">
        <v>24</v>
      </c>
      <c r="O613">
        <v>-1</v>
      </c>
    </row>
    <row r="614" spans="1:15" ht="409.6" x14ac:dyDescent="0.3">
      <c r="A614">
        <v>612</v>
      </c>
      <c r="B614" t="s">
        <v>240</v>
      </c>
      <c r="C614" t="s">
        <v>1563</v>
      </c>
      <c r="D614" s="1" t="s">
        <v>404</v>
      </c>
      <c r="E614">
        <v>4.2</v>
      </c>
      <c r="F614" s="1" t="s">
        <v>28</v>
      </c>
      <c r="G614" t="s">
        <v>405</v>
      </c>
      <c r="H614" t="s">
        <v>30</v>
      </c>
      <c r="I614" t="s">
        <v>31</v>
      </c>
      <c r="J614">
        <v>1968</v>
      </c>
      <c r="K614" t="s">
        <v>32</v>
      </c>
      <c r="L614" t="s">
        <v>33</v>
      </c>
      <c r="M614" t="s">
        <v>34</v>
      </c>
      <c r="N614" t="s">
        <v>35</v>
      </c>
      <c r="O614">
        <v>-1</v>
      </c>
    </row>
    <row r="615" spans="1:15" ht="409.6" x14ac:dyDescent="0.3">
      <c r="A615">
        <v>613</v>
      </c>
      <c r="B615" t="s">
        <v>26</v>
      </c>
      <c r="C615" t="s">
        <v>1563</v>
      </c>
      <c r="D615" s="1" t="s">
        <v>1564</v>
      </c>
      <c r="E615">
        <v>-1</v>
      </c>
      <c r="F615" t="s">
        <v>1565</v>
      </c>
      <c r="G615" t="s">
        <v>1266</v>
      </c>
      <c r="H615">
        <v>-1</v>
      </c>
      <c r="I615">
        <v>-1</v>
      </c>
      <c r="J615">
        <v>-1</v>
      </c>
      <c r="K615">
        <v>-1</v>
      </c>
      <c r="L615">
        <v>-1</v>
      </c>
      <c r="M615">
        <v>-1</v>
      </c>
      <c r="N615">
        <v>-1</v>
      </c>
      <c r="O615">
        <v>-1</v>
      </c>
    </row>
    <row r="616" spans="1:15" ht="409.6" x14ac:dyDescent="0.3">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ht="409.6" x14ac:dyDescent="0.3">
      <c r="A617">
        <v>615</v>
      </c>
      <c r="B617" t="s">
        <v>26</v>
      </c>
      <c r="C617" t="s">
        <v>1563</v>
      </c>
      <c r="D617" s="1" t="s">
        <v>1570</v>
      </c>
      <c r="E617">
        <v>-1</v>
      </c>
      <c r="F617" t="s">
        <v>1571</v>
      </c>
      <c r="G617" t="s">
        <v>1572</v>
      </c>
      <c r="H617" t="s">
        <v>178</v>
      </c>
      <c r="I617" t="s">
        <v>688</v>
      </c>
      <c r="J617">
        <v>-1</v>
      </c>
      <c r="K617" t="s">
        <v>53</v>
      </c>
      <c r="L617">
        <v>-1</v>
      </c>
      <c r="M617">
        <v>-1</v>
      </c>
      <c r="N617" t="s">
        <v>24</v>
      </c>
      <c r="O617">
        <v>-1</v>
      </c>
    </row>
    <row r="618" spans="1:15" ht="409.6" x14ac:dyDescent="0.3">
      <c r="A618">
        <v>616</v>
      </c>
      <c r="B618" t="s">
        <v>26</v>
      </c>
      <c r="C618" t="s">
        <v>1563</v>
      </c>
      <c r="D618" s="1" t="s">
        <v>1573</v>
      </c>
      <c r="E618">
        <v>2.8</v>
      </c>
      <c r="F618" s="1" t="s">
        <v>1574</v>
      </c>
      <c r="G618" t="s">
        <v>707</v>
      </c>
      <c r="H618" t="s">
        <v>1575</v>
      </c>
      <c r="I618" t="s">
        <v>20</v>
      </c>
      <c r="J618">
        <v>1983</v>
      </c>
      <c r="K618" t="s">
        <v>301</v>
      </c>
      <c r="L618" t="s">
        <v>1576</v>
      </c>
      <c r="M618" t="s">
        <v>281</v>
      </c>
      <c r="N618" t="s">
        <v>79</v>
      </c>
      <c r="O618">
        <v>-1</v>
      </c>
    </row>
    <row r="619" spans="1:15" ht="409.6" x14ac:dyDescent="0.3">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ht="409.6" x14ac:dyDescent="0.3">
      <c r="A620">
        <v>618</v>
      </c>
      <c r="B620" t="s">
        <v>26</v>
      </c>
      <c r="C620" t="s">
        <v>1563</v>
      </c>
      <c r="D620" s="1" t="s">
        <v>1577</v>
      </c>
      <c r="E620">
        <v>4.5</v>
      </c>
      <c r="F620" s="1" t="s">
        <v>1578</v>
      </c>
      <c r="G620" t="s">
        <v>405</v>
      </c>
      <c r="H620" t="s">
        <v>610</v>
      </c>
      <c r="I620" t="s">
        <v>52</v>
      </c>
      <c r="J620">
        <v>2009</v>
      </c>
      <c r="K620" t="s">
        <v>53</v>
      </c>
      <c r="L620" t="s">
        <v>175</v>
      </c>
      <c r="M620" t="s">
        <v>175</v>
      </c>
      <c r="N620" t="s">
        <v>24</v>
      </c>
      <c r="O620">
        <v>-1</v>
      </c>
    </row>
    <row r="621" spans="1:15" ht="409.6" x14ac:dyDescent="0.3">
      <c r="A621">
        <v>619</v>
      </c>
      <c r="B621" t="s">
        <v>26</v>
      </c>
      <c r="C621" t="s">
        <v>1563</v>
      </c>
      <c r="D621" s="1" t="s">
        <v>1579</v>
      </c>
      <c r="E621">
        <v>3</v>
      </c>
      <c r="F621" s="1" t="s">
        <v>1580</v>
      </c>
      <c r="G621" t="s">
        <v>200</v>
      </c>
      <c r="H621" t="s">
        <v>200</v>
      </c>
      <c r="I621" t="s">
        <v>52</v>
      </c>
      <c r="J621">
        <v>2006</v>
      </c>
      <c r="K621" t="s">
        <v>53</v>
      </c>
      <c r="L621" t="s">
        <v>40</v>
      </c>
      <c r="M621" t="s">
        <v>34</v>
      </c>
      <c r="N621" t="s">
        <v>160</v>
      </c>
      <c r="O621">
        <v>-1</v>
      </c>
    </row>
    <row r="622" spans="1:15" ht="409.6" x14ac:dyDescent="0.3">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ht="409.6" x14ac:dyDescent="0.3">
      <c r="A623">
        <v>621</v>
      </c>
      <c r="B623" t="s">
        <v>26</v>
      </c>
      <c r="C623" t="s">
        <v>1563</v>
      </c>
      <c r="D623" s="1" t="s">
        <v>1584</v>
      </c>
      <c r="E623">
        <v>4</v>
      </c>
      <c r="F623" s="1" t="s">
        <v>1585</v>
      </c>
      <c r="G623" t="s">
        <v>1114</v>
      </c>
      <c r="H623" t="s">
        <v>1064</v>
      </c>
      <c r="I623" t="s">
        <v>117</v>
      </c>
      <c r="J623">
        <v>-1</v>
      </c>
      <c r="K623" t="s">
        <v>53</v>
      </c>
      <c r="L623">
        <v>-1</v>
      </c>
      <c r="M623">
        <v>-1</v>
      </c>
      <c r="N623" t="s">
        <v>431</v>
      </c>
      <c r="O623">
        <v>-1</v>
      </c>
    </row>
    <row r="624" spans="1:15" ht="409.6" x14ac:dyDescent="0.3">
      <c r="A624">
        <v>622</v>
      </c>
      <c r="B624" t="s">
        <v>189</v>
      </c>
      <c r="C624" t="s">
        <v>1563</v>
      </c>
      <c r="D624" s="1" t="s">
        <v>1586</v>
      </c>
      <c r="E624">
        <v>3.5</v>
      </c>
      <c r="F624" s="1" t="s">
        <v>1587</v>
      </c>
      <c r="G624" t="s">
        <v>1588</v>
      </c>
      <c r="H624" t="s">
        <v>1588</v>
      </c>
      <c r="I624" t="s">
        <v>46</v>
      </c>
      <c r="J624">
        <v>2013</v>
      </c>
      <c r="K624" t="s">
        <v>53</v>
      </c>
      <c r="L624" t="s">
        <v>139</v>
      </c>
      <c r="M624" t="s">
        <v>140</v>
      </c>
      <c r="N624" t="s">
        <v>24</v>
      </c>
      <c r="O624">
        <v>-1</v>
      </c>
    </row>
    <row r="625" spans="1:15" ht="409.6" x14ac:dyDescent="0.3">
      <c r="A625">
        <v>623</v>
      </c>
      <c r="B625" t="s">
        <v>26</v>
      </c>
      <c r="C625" t="s">
        <v>1563</v>
      </c>
      <c r="D625" s="1" t="s">
        <v>1589</v>
      </c>
      <c r="E625">
        <v>3.5</v>
      </c>
      <c r="F625" s="1" t="s">
        <v>1590</v>
      </c>
      <c r="G625" t="s">
        <v>755</v>
      </c>
      <c r="H625" t="s">
        <v>19</v>
      </c>
      <c r="I625" t="s">
        <v>117</v>
      </c>
      <c r="J625">
        <v>1998</v>
      </c>
      <c r="K625" t="s">
        <v>53</v>
      </c>
      <c r="L625" t="s">
        <v>40</v>
      </c>
      <c r="M625" t="s">
        <v>34</v>
      </c>
      <c r="N625" t="s">
        <v>194</v>
      </c>
      <c r="O625">
        <v>-1</v>
      </c>
    </row>
    <row r="626" spans="1:15" ht="409.6" x14ac:dyDescent="0.3">
      <c r="A626">
        <v>624</v>
      </c>
      <c r="B626" t="s">
        <v>26</v>
      </c>
      <c r="C626" t="s">
        <v>1563</v>
      </c>
      <c r="D626" s="1" t="s">
        <v>1591</v>
      </c>
      <c r="E626">
        <v>3.6</v>
      </c>
      <c r="F626" s="1" t="s">
        <v>1592</v>
      </c>
      <c r="G626" t="s">
        <v>30</v>
      </c>
      <c r="H626" t="s">
        <v>1593</v>
      </c>
      <c r="I626" t="s">
        <v>52</v>
      </c>
      <c r="J626">
        <v>1990</v>
      </c>
      <c r="K626" t="s">
        <v>53</v>
      </c>
      <c r="L626" t="s">
        <v>59</v>
      </c>
      <c r="M626" t="s">
        <v>60</v>
      </c>
      <c r="N626" t="s">
        <v>160</v>
      </c>
      <c r="O626">
        <v>-1</v>
      </c>
    </row>
    <row r="627" spans="1:15" ht="409.6" x14ac:dyDescent="0.3">
      <c r="A627">
        <v>625</v>
      </c>
      <c r="B627" t="s">
        <v>26</v>
      </c>
      <c r="C627" t="s">
        <v>1563</v>
      </c>
      <c r="D627" s="1" t="s">
        <v>1594</v>
      </c>
      <c r="E627">
        <v>3</v>
      </c>
      <c r="F627" s="1" t="s">
        <v>1595</v>
      </c>
      <c r="G627" t="s">
        <v>405</v>
      </c>
      <c r="H627" t="s">
        <v>405</v>
      </c>
      <c r="I627" t="s">
        <v>52</v>
      </c>
      <c r="J627">
        <v>2012</v>
      </c>
      <c r="K627" t="s">
        <v>53</v>
      </c>
      <c r="L627" t="s">
        <v>84</v>
      </c>
      <c r="M627" t="s">
        <v>60</v>
      </c>
      <c r="N627" t="s">
        <v>24</v>
      </c>
      <c r="O627">
        <v>-1</v>
      </c>
    </row>
    <row r="628" spans="1:15" ht="409.6" x14ac:dyDescent="0.3">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ht="409.6" x14ac:dyDescent="0.3">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v>-1</v>
      </c>
    </row>
    <row r="630" spans="1:15" ht="409.6" x14ac:dyDescent="0.3">
      <c r="A630">
        <v>628</v>
      </c>
      <c r="B630" t="s">
        <v>26</v>
      </c>
      <c r="C630" t="s">
        <v>1563</v>
      </c>
      <c r="D630" s="1" t="s">
        <v>1599</v>
      </c>
      <c r="E630">
        <v>4.3</v>
      </c>
      <c r="F630" s="1" t="s">
        <v>1600</v>
      </c>
      <c r="G630" t="s">
        <v>1601</v>
      </c>
      <c r="H630" t="s">
        <v>1602</v>
      </c>
      <c r="I630" t="s">
        <v>20</v>
      </c>
      <c r="J630">
        <v>2000</v>
      </c>
      <c r="K630" t="s">
        <v>53</v>
      </c>
      <c r="L630" t="s">
        <v>59</v>
      </c>
      <c r="M630" t="s">
        <v>60</v>
      </c>
      <c r="N630" t="s">
        <v>41</v>
      </c>
      <c r="O630">
        <v>-1</v>
      </c>
    </row>
    <row r="631" spans="1:15" ht="409.6" x14ac:dyDescent="0.3">
      <c r="A631">
        <v>629</v>
      </c>
      <c r="B631" t="s">
        <v>26</v>
      </c>
      <c r="C631" t="s">
        <v>1563</v>
      </c>
      <c r="D631" s="1" t="s">
        <v>1383</v>
      </c>
      <c r="E631">
        <v>4.7</v>
      </c>
      <c r="F631" s="1" t="s">
        <v>1384</v>
      </c>
      <c r="G631" t="s">
        <v>83</v>
      </c>
      <c r="H631" t="s">
        <v>1385</v>
      </c>
      <c r="I631" t="s">
        <v>52</v>
      </c>
      <c r="J631">
        <v>1994</v>
      </c>
      <c r="K631" t="s">
        <v>53</v>
      </c>
      <c r="L631" t="s">
        <v>286</v>
      </c>
      <c r="M631" t="s">
        <v>34</v>
      </c>
      <c r="N631" t="s">
        <v>160</v>
      </c>
      <c r="O631">
        <v>-1</v>
      </c>
    </row>
    <row r="632" spans="1:15" ht="409.6" x14ac:dyDescent="0.3">
      <c r="A632">
        <v>630</v>
      </c>
      <c r="B632" t="s">
        <v>26</v>
      </c>
      <c r="C632" t="s">
        <v>1563</v>
      </c>
      <c r="D632" s="1" t="s">
        <v>1603</v>
      </c>
      <c r="E632">
        <v>3.7</v>
      </c>
      <c r="F632" s="1" t="s">
        <v>1604</v>
      </c>
      <c r="G632" t="s">
        <v>652</v>
      </c>
      <c r="H632" t="s">
        <v>263</v>
      </c>
      <c r="I632" t="s">
        <v>107</v>
      </c>
      <c r="J632">
        <v>2004</v>
      </c>
      <c r="K632" t="s">
        <v>53</v>
      </c>
      <c r="L632" t="s">
        <v>92</v>
      </c>
      <c r="M632" t="s">
        <v>60</v>
      </c>
      <c r="N632" t="s">
        <v>24</v>
      </c>
      <c r="O632">
        <v>-1</v>
      </c>
    </row>
    <row r="633" spans="1:15" ht="409.6" x14ac:dyDescent="0.3">
      <c r="A633">
        <v>631</v>
      </c>
      <c r="B633" t="s">
        <v>416</v>
      </c>
      <c r="C633" t="s">
        <v>1605</v>
      </c>
      <c r="D633" s="1" t="s">
        <v>417</v>
      </c>
      <c r="E633">
        <v>3.9</v>
      </c>
      <c r="F633" s="1" t="s">
        <v>396</v>
      </c>
      <c r="G633" t="s">
        <v>19</v>
      </c>
      <c r="H633" t="s">
        <v>87</v>
      </c>
      <c r="I633" t="s">
        <v>66</v>
      </c>
      <c r="J633">
        <v>1911</v>
      </c>
      <c r="K633" t="s">
        <v>53</v>
      </c>
      <c r="L633" t="s">
        <v>397</v>
      </c>
      <c r="M633" t="s">
        <v>48</v>
      </c>
      <c r="N633" t="s">
        <v>68</v>
      </c>
      <c r="O633">
        <v>-1</v>
      </c>
    </row>
    <row r="634" spans="1:15" ht="409.6" x14ac:dyDescent="0.3">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v>-1</v>
      </c>
    </row>
    <row r="635" spans="1:15" ht="409.6" x14ac:dyDescent="0.3">
      <c r="A635">
        <v>633</v>
      </c>
      <c r="B635" t="s">
        <v>26</v>
      </c>
      <c r="C635" t="s">
        <v>1605</v>
      </c>
      <c r="D635" s="1" t="s">
        <v>1606</v>
      </c>
      <c r="E635">
        <v>3</v>
      </c>
      <c r="F635" s="1" t="s">
        <v>1607</v>
      </c>
      <c r="G635" t="s">
        <v>193</v>
      </c>
      <c r="H635" t="s">
        <v>942</v>
      </c>
      <c r="I635" t="s">
        <v>52</v>
      </c>
      <c r="J635">
        <v>-1</v>
      </c>
      <c r="K635" t="s">
        <v>53</v>
      </c>
      <c r="L635" t="s">
        <v>40</v>
      </c>
      <c r="M635" t="s">
        <v>34</v>
      </c>
      <c r="N635" t="s">
        <v>403</v>
      </c>
      <c r="O635">
        <v>-1</v>
      </c>
    </row>
    <row r="636" spans="1:15" ht="409.6" x14ac:dyDescent="0.3">
      <c r="A636">
        <v>634</v>
      </c>
      <c r="B636" t="s">
        <v>26</v>
      </c>
      <c r="C636" t="s">
        <v>1605</v>
      </c>
      <c r="D636" s="1" t="s">
        <v>1608</v>
      </c>
      <c r="E636">
        <v>2.5</v>
      </c>
      <c r="F636" s="1" t="s">
        <v>1609</v>
      </c>
      <c r="G636" t="s">
        <v>1014</v>
      </c>
      <c r="H636" t="s">
        <v>1014</v>
      </c>
      <c r="I636" t="s">
        <v>31</v>
      </c>
      <c r="J636">
        <v>1954</v>
      </c>
      <c r="K636" t="s">
        <v>53</v>
      </c>
      <c r="L636" t="s">
        <v>1431</v>
      </c>
      <c r="M636" t="s">
        <v>34</v>
      </c>
      <c r="N636" t="s">
        <v>24</v>
      </c>
      <c r="O636" t="s">
        <v>1610</v>
      </c>
    </row>
    <row r="637" spans="1:15" ht="409.6" x14ac:dyDescent="0.3">
      <c r="A637">
        <v>635</v>
      </c>
      <c r="B637" t="s">
        <v>26</v>
      </c>
      <c r="C637" t="s">
        <v>1605</v>
      </c>
      <c r="D637" s="1" t="s">
        <v>1386</v>
      </c>
      <c r="E637">
        <v>3.5</v>
      </c>
      <c r="F637" s="1" t="s">
        <v>1387</v>
      </c>
      <c r="G637" t="s">
        <v>143</v>
      </c>
      <c r="H637" t="s">
        <v>143</v>
      </c>
      <c r="I637" t="s">
        <v>52</v>
      </c>
      <c r="J637">
        <v>1998</v>
      </c>
      <c r="K637" t="s">
        <v>53</v>
      </c>
      <c r="L637" t="s">
        <v>40</v>
      </c>
      <c r="M637" t="s">
        <v>34</v>
      </c>
      <c r="N637" t="s">
        <v>164</v>
      </c>
      <c r="O637">
        <v>-1</v>
      </c>
    </row>
    <row r="638" spans="1:15" ht="409.6" x14ac:dyDescent="0.3">
      <c r="A638">
        <v>636</v>
      </c>
      <c r="B638" t="s">
        <v>753</v>
      </c>
      <c r="C638" t="s">
        <v>1605</v>
      </c>
      <c r="D638" s="1" t="s">
        <v>754</v>
      </c>
      <c r="E638">
        <v>5</v>
      </c>
      <c r="F638" s="1" t="s">
        <v>747</v>
      </c>
      <c r="G638" t="s">
        <v>755</v>
      </c>
      <c r="H638" t="s">
        <v>748</v>
      </c>
      <c r="I638" t="s">
        <v>117</v>
      </c>
      <c r="J638">
        <v>2011</v>
      </c>
      <c r="K638" t="s">
        <v>53</v>
      </c>
      <c r="L638" t="s">
        <v>92</v>
      </c>
      <c r="M638" t="s">
        <v>60</v>
      </c>
      <c r="N638" t="s">
        <v>212</v>
      </c>
      <c r="O638">
        <v>-1</v>
      </c>
    </row>
    <row r="639" spans="1:15" ht="409.6" x14ac:dyDescent="0.3">
      <c r="A639">
        <v>637</v>
      </c>
      <c r="B639" t="s">
        <v>26</v>
      </c>
      <c r="C639" t="s">
        <v>1605</v>
      </c>
      <c r="D639" s="1" t="s">
        <v>1381</v>
      </c>
      <c r="E639">
        <v>-1</v>
      </c>
      <c r="F639" t="s">
        <v>1382</v>
      </c>
      <c r="G639" t="s">
        <v>29</v>
      </c>
      <c r="H639">
        <v>-1</v>
      </c>
      <c r="I639" t="s">
        <v>117</v>
      </c>
      <c r="J639">
        <v>-1</v>
      </c>
      <c r="K639" t="s">
        <v>688</v>
      </c>
      <c r="L639">
        <v>-1</v>
      </c>
      <c r="M639">
        <v>-1</v>
      </c>
      <c r="N639" t="s">
        <v>24</v>
      </c>
      <c r="O639">
        <v>-1</v>
      </c>
    </row>
    <row r="640" spans="1:15" ht="409.6" x14ac:dyDescent="0.3">
      <c r="A640">
        <v>638</v>
      </c>
      <c r="B640" t="s">
        <v>240</v>
      </c>
      <c r="C640" t="s">
        <v>1605</v>
      </c>
      <c r="D640" s="1" t="s">
        <v>752</v>
      </c>
      <c r="E640">
        <v>3.5</v>
      </c>
      <c r="F640" s="1" t="s">
        <v>472</v>
      </c>
      <c r="G640" t="s">
        <v>30</v>
      </c>
      <c r="H640" t="s">
        <v>473</v>
      </c>
      <c r="I640" t="s">
        <v>31</v>
      </c>
      <c r="J640">
        <v>-1</v>
      </c>
      <c r="K640" t="s">
        <v>32</v>
      </c>
      <c r="L640" t="s">
        <v>175</v>
      </c>
      <c r="M640" t="s">
        <v>175</v>
      </c>
      <c r="N640" t="s">
        <v>79</v>
      </c>
      <c r="O640">
        <v>-1</v>
      </c>
    </row>
    <row r="641" spans="1:15" ht="409.6" x14ac:dyDescent="0.3">
      <c r="A641">
        <v>639</v>
      </c>
      <c r="B641" t="s">
        <v>26</v>
      </c>
      <c r="C641" t="s">
        <v>1605</v>
      </c>
      <c r="D641" s="1" t="s">
        <v>1611</v>
      </c>
      <c r="E641">
        <v>3</v>
      </c>
      <c r="F641" s="1" t="s">
        <v>1612</v>
      </c>
      <c r="G641" t="s">
        <v>200</v>
      </c>
      <c r="H641" t="s">
        <v>1613</v>
      </c>
      <c r="I641" t="s">
        <v>52</v>
      </c>
      <c r="J641">
        <v>1999</v>
      </c>
      <c r="K641" t="s">
        <v>53</v>
      </c>
      <c r="L641" t="s">
        <v>84</v>
      </c>
      <c r="M641" t="s">
        <v>60</v>
      </c>
      <c r="N641" t="s">
        <v>24</v>
      </c>
      <c r="O641" t="s">
        <v>1614</v>
      </c>
    </row>
    <row r="642" spans="1:15" ht="409.6" x14ac:dyDescent="0.3">
      <c r="A642">
        <v>640</v>
      </c>
      <c r="B642" t="s">
        <v>1398</v>
      </c>
      <c r="C642" t="s">
        <v>1605</v>
      </c>
      <c r="D642" s="1" t="s">
        <v>1399</v>
      </c>
      <c r="E642">
        <v>5</v>
      </c>
      <c r="F642" s="1" t="s">
        <v>1400</v>
      </c>
      <c r="G642" t="s">
        <v>19</v>
      </c>
      <c r="H642" t="s">
        <v>1401</v>
      </c>
      <c r="I642" t="s">
        <v>117</v>
      </c>
      <c r="J642">
        <v>1987</v>
      </c>
      <c r="K642" t="s">
        <v>53</v>
      </c>
      <c r="L642" t="s">
        <v>286</v>
      </c>
      <c r="M642" t="s">
        <v>34</v>
      </c>
      <c r="N642" t="s">
        <v>24</v>
      </c>
      <c r="O642">
        <v>-1</v>
      </c>
    </row>
    <row r="643" spans="1:15" ht="409.6" x14ac:dyDescent="0.3">
      <c r="A643">
        <v>641</v>
      </c>
      <c r="B643" t="s">
        <v>26</v>
      </c>
      <c r="C643" t="s">
        <v>1605</v>
      </c>
      <c r="D643" s="1" t="s">
        <v>1615</v>
      </c>
      <c r="E643">
        <v>4.7</v>
      </c>
      <c r="F643" s="1" t="s">
        <v>1616</v>
      </c>
      <c r="G643" t="s">
        <v>83</v>
      </c>
      <c r="H643" t="s">
        <v>1014</v>
      </c>
      <c r="I643" t="s">
        <v>52</v>
      </c>
      <c r="J643">
        <v>-1</v>
      </c>
      <c r="K643" t="s">
        <v>53</v>
      </c>
      <c r="L643" t="s">
        <v>92</v>
      </c>
      <c r="M643" t="s">
        <v>60</v>
      </c>
      <c r="N643" t="s">
        <v>24</v>
      </c>
      <c r="O643">
        <v>-1</v>
      </c>
    </row>
    <row r="644" spans="1:15" ht="409.6" x14ac:dyDescent="0.3">
      <c r="A644">
        <v>642</v>
      </c>
      <c r="B644" t="s">
        <v>189</v>
      </c>
      <c r="C644" t="s">
        <v>1605</v>
      </c>
      <c r="D644" s="1" t="s">
        <v>1617</v>
      </c>
      <c r="E644">
        <v>3.3</v>
      </c>
      <c r="F644" s="1" t="s">
        <v>1618</v>
      </c>
      <c r="G644" t="s">
        <v>1239</v>
      </c>
      <c r="H644" t="s">
        <v>1239</v>
      </c>
      <c r="I644" t="s">
        <v>107</v>
      </c>
      <c r="J644">
        <v>1992</v>
      </c>
      <c r="K644" t="s">
        <v>53</v>
      </c>
      <c r="L644" t="s">
        <v>22</v>
      </c>
      <c r="M644" t="s">
        <v>23</v>
      </c>
      <c r="N644" t="s">
        <v>41</v>
      </c>
      <c r="O644">
        <v>-1</v>
      </c>
    </row>
    <row r="645" spans="1:15" ht="409.6" x14ac:dyDescent="0.3">
      <c r="A645">
        <v>643</v>
      </c>
      <c r="B645" t="s">
        <v>26</v>
      </c>
      <c r="C645" t="s">
        <v>1605</v>
      </c>
      <c r="D645" s="1" t="s">
        <v>1619</v>
      </c>
      <c r="E645">
        <v>3.3</v>
      </c>
      <c r="F645" s="1" t="s">
        <v>1620</v>
      </c>
      <c r="G645" t="s">
        <v>848</v>
      </c>
      <c r="H645" t="s">
        <v>848</v>
      </c>
      <c r="I645" t="s">
        <v>20</v>
      </c>
      <c r="J645">
        <v>1974</v>
      </c>
      <c r="K645" t="s">
        <v>53</v>
      </c>
      <c r="L645" t="s">
        <v>22</v>
      </c>
      <c r="M645" t="s">
        <v>23</v>
      </c>
      <c r="N645" t="s">
        <v>24</v>
      </c>
      <c r="O645" t="s">
        <v>1621</v>
      </c>
    </row>
    <row r="646" spans="1:15" ht="409.6" x14ac:dyDescent="0.3">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ht="409.6" x14ac:dyDescent="0.3">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ht="409.6" x14ac:dyDescent="0.3">
      <c r="A648">
        <v>646</v>
      </c>
      <c r="B648" t="s">
        <v>26</v>
      </c>
      <c r="C648" t="s">
        <v>1605</v>
      </c>
      <c r="D648" s="1" t="s">
        <v>1111</v>
      </c>
      <c r="E648">
        <v>3.5</v>
      </c>
      <c r="F648" s="1" t="s">
        <v>472</v>
      </c>
      <c r="G648" t="s">
        <v>30</v>
      </c>
      <c r="H648" t="s">
        <v>473</v>
      </c>
      <c r="I648" t="s">
        <v>31</v>
      </c>
      <c r="J648">
        <v>-1</v>
      </c>
      <c r="K648" t="s">
        <v>32</v>
      </c>
      <c r="L648" t="s">
        <v>175</v>
      </c>
      <c r="M648" t="s">
        <v>175</v>
      </c>
      <c r="N648" t="s">
        <v>79</v>
      </c>
      <c r="O648">
        <v>-1</v>
      </c>
    </row>
    <row r="649" spans="1:15" ht="409.6" x14ac:dyDescent="0.3">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ht="409.6" x14ac:dyDescent="0.3">
      <c r="A650">
        <v>648</v>
      </c>
      <c r="B650" t="s">
        <v>26</v>
      </c>
      <c r="C650" t="s">
        <v>1605</v>
      </c>
      <c r="D650" s="1" t="s">
        <v>1112</v>
      </c>
      <c r="E650">
        <v>4.7</v>
      </c>
      <c r="F650" s="1" t="s">
        <v>1113</v>
      </c>
      <c r="G650" t="s">
        <v>1114</v>
      </c>
      <c r="H650" t="s">
        <v>1115</v>
      </c>
      <c r="I650" t="s">
        <v>52</v>
      </c>
      <c r="J650">
        <v>2008</v>
      </c>
      <c r="K650" t="s">
        <v>53</v>
      </c>
      <c r="L650" t="s">
        <v>40</v>
      </c>
      <c r="M650" t="s">
        <v>34</v>
      </c>
      <c r="N650" t="s">
        <v>24</v>
      </c>
      <c r="O650">
        <v>-1</v>
      </c>
    </row>
    <row r="651" spans="1:15" ht="409.6" x14ac:dyDescent="0.3">
      <c r="A651">
        <v>649</v>
      </c>
      <c r="B651" t="s">
        <v>756</v>
      </c>
      <c r="C651" t="s">
        <v>1605</v>
      </c>
      <c r="D651" s="1" t="s">
        <v>394</v>
      </c>
      <c r="E651">
        <v>4.8</v>
      </c>
      <c r="F651" s="1" t="s">
        <v>242</v>
      </c>
      <c r="G651" t="s">
        <v>38</v>
      </c>
      <c r="H651" t="s">
        <v>38</v>
      </c>
      <c r="I651" t="s">
        <v>107</v>
      </c>
      <c r="J651">
        <v>2012</v>
      </c>
      <c r="K651" t="s">
        <v>53</v>
      </c>
      <c r="L651" t="s">
        <v>59</v>
      </c>
      <c r="M651" t="s">
        <v>60</v>
      </c>
      <c r="N651" t="s">
        <v>24</v>
      </c>
      <c r="O651">
        <v>-1</v>
      </c>
    </row>
    <row r="652" spans="1:15" ht="409.6" x14ac:dyDescent="0.3">
      <c r="A652">
        <v>650</v>
      </c>
      <c r="B652" t="s">
        <v>1412</v>
      </c>
      <c r="C652" t="s">
        <v>1605</v>
      </c>
      <c r="D652" s="1" t="s">
        <v>1413</v>
      </c>
      <c r="E652">
        <v>-1</v>
      </c>
      <c r="F652" t="s">
        <v>1414</v>
      </c>
      <c r="G652" t="s">
        <v>64</v>
      </c>
      <c r="H652">
        <v>-1</v>
      </c>
      <c r="I652">
        <v>-1</v>
      </c>
      <c r="J652">
        <v>-1</v>
      </c>
      <c r="K652">
        <v>-1</v>
      </c>
      <c r="L652">
        <v>-1</v>
      </c>
      <c r="M652">
        <v>-1</v>
      </c>
      <c r="N652">
        <v>-1</v>
      </c>
      <c r="O652">
        <v>-1</v>
      </c>
    </row>
    <row r="653" spans="1:15" ht="409.6" x14ac:dyDescent="0.3">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ht="409.6" x14ac:dyDescent="0.3">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ht="409.6" x14ac:dyDescent="0.3">
      <c r="A655">
        <v>653</v>
      </c>
      <c r="B655" t="s">
        <v>507</v>
      </c>
      <c r="C655" t="s">
        <v>1627</v>
      </c>
      <c r="D655" s="1" t="s">
        <v>508</v>
      </c>
      <c r="E655">
        <v>3.8</v>
      </c>
      <c r="F655" s="1" t="s">
        <v>509</v>
      </c>
      <c r="G655" t="s">
        <v>510</v>
      </c>
      <c r="H655" t="s">
        <v>511</v>
      </c>
      <c r="I655" t="s">
        <v>31</v>
      </c>
      <c r="J655">
        <v>1996</v>
      </c>
      <c r="K655" t="s">
        <v>32</v>
      </c>
      <c r="L655" t="s">
        <v>512</v>
      </c>
      <c r="M655" t="s">
        <v>513</v>
      </c>
      <c r="N655" t="s">
        <v>79</v>
      </c>
      <c r="O655">
        <v>-1</v>
      </c>
    </row>
    <row r="656" spans="1:15" ht="409.6" x14ac:dyDescent="0.3">
      <c r="A656">
        <v>654</v>
      </c>
      <c r="B656" t="s">
        <v>26</v>
      </c>
      <c r="C656" t="s">
        <v>1627</v>
      </c>
      <c r="D656" s="1" t="s">
        <v>1409</v>
      </c>
      <c r="E656">
        <v>2.7</v>
      </c>
      <c r="F656" s="1" t="s">
        <v>1410</v>
      </c>
      <c r="G656" t="s">
        <v>1411</v>
      </c>
      <c r="H656" t="s">
        <v>29</v>
      </c>
      <c r="I656" t="s">
        <v>52</v>
      </c>
      <c r="J656">
        <v>2010</v>
      </c>
      <c r="K656" t="s">
        <v>32</v>
      </c>
      <c r="L656" t="s">
        <v>175</v>
      </c>
      <c r="M656" t="s">
        <v>175</v>
      </c>
      <c r="N656" t="s">
        <v>24</v>
      </c>
      <c r="O656">
        <v>-1</v>
      </c>
    </row>
    <row r="657" spans="1:15" ht="409.6" x14ac:dyDescent="0.3">
      <c r="A657">
        <v>655</v>
      </c>
      <c r="B657" t="s">
        <v>26</v>
      </c>
      <c r="C657" t="s">
        <v>1627</v>
      </c>
      <c r="D657" s="1" t="s">
        <v>1415</v>
      </c>
      <c r="E657">
        <v>4</v>
      </c>
      <c r="F657" s="1" t="s">
        <v>1416</v>
      </c>
      <c r="G657" t="s">
        <v>111</v>
      </c>
      <c r="H657" t="s">
        <v>874</v>
      </c>
      <c r="I657" t="s">
        <v>52</v>
      </c>
      <c r="J657">
        <v>-1</v>
      </c>
      <c r="K657" t="s">
        <v>53</v>
      </c>
      <c r="L657" t="s">
        <v>1417</v>
      </c>
      <c r="M657" t="s">
        <v>1418</v>
      </c>
      <c r="N657" t="s">
        <v>403</v>
      </c>
      <c r="O657">
        <v>-1</v>
      </c>
    </row>
    <row r="658" spans="1:15" ht="409.6" x14ac:dyDescent="0.3">
      <c r="A658">
        <v>656</v>
      </c>
      <c r="B658" t="s">
        <v>26</v>
      </c>
      <c r="C658" t="s">
        <v>1627</v>
      </c>
      <c r="D658" s="1" t="s">
        <v>1628</v>
      </c>
      <c r="E658">
        <v>-1</v>
      </c>
      <c r="F658" t="s">
        <v>1629</v>
      </c>
      <c r="G658" t="s">
        <v>722</v>
      </c>
      <c r="H658">
        <v>-1</v>
      </c>
      <c r="I658">
        <v>-1</v>
      </c>
      <c r="J658">
        <v>-1</v>
      </c>
      <c r="K658">
        <v>-1</v>
      </c>
      <c r="L658">
        <v>-1</v>
      </c>
      <c r="M658">
        <v>-1</v>
      </c>
      <c r="N658">
        <v>-1</v>
      </c>
      <c r="O658">
        <v>-1</v>
      </c>
    </row>
    <row r="659" spans="1:15" ht="409.6" x14ac:dyDescent="0.3">
      <c r="A659">
        <v>657</v>
      </c>
      <c r="B659" t="s">
        <v>26</v>
      </c>
      <c r="C659" t="s">
        <v>1627</v>
      </c>
      <c r="D659" s="1" t="s">
        <v>1630</v>
      </c>
      <c r="E659">
        <v>-1</v>
      </c>
      <c r="F659" t="s">
        <v>1631</v>
      </c>
      <c r="G659" t="s">
        <v>1014</v>
      </c>
      <c r="H659">
        <v>-1</v>
      </c>
      <c r="I659">
        <v>-1</v>
      </c>
      <c r="J659">
        <v>-1</v>
      </c>
      <c r="K659">
        <v>-1</v>
      </c>
      <c r="L659">
        <v>-1</v>
      </c>
      <c r="M659">
        <v>-1</v>
      </c>
      <c r="N659">
        <v>-1</v>
      </c>
      <c r="O659">
        <v>-1</v>
      </c>
    </row>
    <row r="660" spans="1:15" ht="409.6" x14ac:dyDescent="0.3">
      <c r="A660">
        <v>658</v>
      </c>
      <c r="B660" t="s">
        <v>26</v>
      </c>
      <c r="C660" t="s">
        <v>1627</v>
      </c>
      <c r="D660" s="1" t="s">
        <v>1419</v>
      </c>
      <c r="E660">
        <v>3.8</v>
      </c>
      <c r="F660" s="1" t="s">
        <v>1420</v>
      </c>
      <c r="G660" t="s">
        <v>111</v>
      </c>
      <c r="H660" t="s">
        <v>652</v>
      </c>
      <c r="I660" t="s">
        <v>52</v>
      </c>
      <c r="J660">
        <v>2010</v>
      </c>
      <c r="K660" t="s">
        <v>32</v>
      </c>
      <c r="L660" t="s">
        <v>92</v>
      </c>
      <c r="M660" t="s">
        <v>60</v>
      </c>
      <c r="N660" t="s">
        <v>160</v>
      </c>
      <c r="O660">
        <v>-1</v>
      </c>
    </row>
    <row r="661" spans="1:15" ht="409.6" x14ac:dyDescent="0.3">
      <c r="A661">
        <v>659</v>
      </c>
      <c r="B661" t="s">
        <v>26</v>
      </c>
      <c r="C661" t="s">
        <v>1627</v>
      </c>
      <c r="D661" s="1" t="s">
        <v>1120</v>
      </c>
      <c r="E661">
        <v>3.2</v>
      </c>
      <c r="F661" s="1" t="s">
        <v>1121</v>
      </c>
      <c r="G661" t="s">
        <v>1122</v>
      </c>
      <c r="H661" t="s">
        <v>29</v>
      </c>
      <c r="I661" t="s">
        <v>66</v>
      </c>
      <c r="J661">
        <v>2018</v>
      </c>
      <c r="K661" t="s">
        <v>32</v>
      </c>
      <c r="L661" t="s">
        <v>175</v>
      </c>
      <c r="M661" t="s">
        <v>175</v>
      </c>
      <c r="N661" t="s">
        <v>24</v>
      </c>
      <c r="O661">
        <v>-1</v>
      </c>
    </row>
    <row r="662" spans="1:15" ht="409.6" x14ac:dyDescent="0.3">
      <c r="A662">
        <v>660</v>
      </c>
      <c r="B662" t="s">
        <v>26</v>
      </c>
      <c r="C662" t="s">
        <v>1627</v>
      </c>
      <c r="D662" s="1" t="s">
        <v>1632</v>
      </c>
      <c r="E662">
        <v>-1</v>
      </c>
      <c r="F662" t="s">
        <v>1633</v>
      </c>
      <c r="G662" t="s">
        <v>1634</v>
      </c>
      <c r="H662">
        <v>-1</v>
      </c>
      <c r="I662">
        <v>-1</v>
      </c>
      <c r="J662">
        <v>-1</v>
      </c>
      <c r="K662">
        <v>-1</v>
      </c>
      <c r="L662">
        <v>-1</v>
      </c>
      <c r="M662">
        <v>-1</v>
      </c>
      <c r="N662">
        <v>-1</v>
      </c>
      <c r="O662">
        <v>-1</v>
      </c>
    </row>
    <row r="663" spans="1:15" ht="409.6" x14ac:dyDescent="0.3">
      <c r="A663">
        <v>661</v>
      </c>
      <c r="B663" t="s">
        <v>26</v>
      </c>
      <c r="C663" t="s">
        <v>1627</v>
      </c>
      <c r="D663" s="1" t="s">
        <v>1635</v>
      </c>
      <c r="E663">
        <v>3.6</v>
      </c>
      <c r="F663" s="1" t="s">
        <v>1636</v>
      </c>
      <c r="G663" t="s">
        <v>1637</v>
      </c>
      <c r="H663" t="s">
        <v>1637</v>
      </c>
      <c r="I663" t="s">
        <v>66</v>
      </c>
      <c r="J663">
        <v>-1</v>
      </c>
      <c r="K663" t="s">
        <v>32</v>
      </c>
      <c r="L663" t="s">
        <v>961</v>
      </c>
      <c r="M663" t="s">
        <v>73</v>
      </c>
      <c r="N663" t="s">
        <v>24</v>
      </c>
      <c r="O663">
        <v>-1</v>
      </c>
    </row>
    <row r="664" spans="1:15" ht="43.2" x14ac:dyDescent="0.3">
      <c r="A664">
        <v>662</v>
      </c>
      <c r="B664" t="s">
        <v>26</v>
      </c>
      <c r="C664" t="s">
        <v>1627</v>
      </c>
      <c r="D664" t="s">
        <v>1116</v>
      </c>
      <c r="E664">
        <v>4.4000000000000004</v>
      </c>
      <c r="F664" s="1" t="s">
        <v>1117</v>
      </c>
      <c r="G664" t="s">
        <v>1118</v>
      </c>
      <c r="H664" t="s">
        <v>1119</v>
      </c>
      <c r="I664" t="s">
        <v>52</v>
      </c>
      <c r="J664">
        <v>-1</v>
      </c>
      <c r="K664" t="s">
        <v>53</v>
      </c>
      <c r="L664">
        <v>-1</v>
      </c>
      <c r="M664">
        <v>-1</v>
      </c>
      <c r="N664" t="s">
        <v>24</v>
      </c>
      <c r="O664">
        <v>-1</v>
      </c>
    </row>
    <row r="665" spans="1:15" ht="409.6" x14ac:dyDescent="0.3">
      <c r="A665">
        <v>663</v>
      </c>
      <c r="B665" t="s">
        <v>26</v>
      </c>
      <c r="C665" t="s">
        <v>1627</v>
      </c>
      <c r="D665" s="1" t="s">
        <v>1638</v>
      </c>
      <c r="E665">
        <v>4.0999999999999996</v>
      </c>
      <c r="F665" s="1" t="s">
        <v>1639</v>
      </c>
      <c r="G665" t="s">
        <v>1044</v>
      </c>
      <c r="H665" t="s">
        <v>1640</v>
      </c>
      <c r="I665" t="s">
        <v>46</v>
      </c>
      <c r="J665">
        <v>2004</v>
      </c>
      <c r="K665" t="s">
        <v>53</v>
      </c>
      <c r="L665" t="s">
        <v>286</v>
      </c>
      <c r="M665" t="s">
        <v>34</v>
      </c>
      <c r="N665" t="s">
        <v>24</v>
      </c>
      <c r="O665">
        <v>-1</v>
      </c>
    </row>
    <row r="666" spans="1:15" ht="409.6" x14ac:dyDescent="0.3">
      <c r="A666">
        <v>664</v>
      </c>
      <c r="B666" t="s">
        <v>26</v>
      </c>
      <c r="C666" t="s">
        <v>1627</v>
      </c>
      <c r="D666" s="1" t="s">
        <v>1641</v>
      </c>
      <c r="E666">
        <v>-1</v>
      </c>
      <c r="F666" t="s">
        <v>1642</v>
      </c>
      <c r="G666" t="s">
        <v>1643</v>
      </c>
      <c r="H666" t="s">
        <v>755</v>
      </c>
      <c r="I666" t="s">
        <v>117</v>
      </c>
      <c r="J666">
        <v>-1</v>
      </c>
      <c r="K666" t="s">
        <v>53</v>
      </c>
      <c r="L666">
        <v>-1</v>
      </c>
      <c r="M666">
        <v>-1</v>
      </c>
      <c r="N666" t="s">
        <v>24</v>
      </c>
      <c r="O666">
        <v>-1</v>
      </c>
    </row>
    <row r="667" spans="1:15" ht="409.6" x14ac:dyDescent="0.3">
      <c r="A667">
        <v>665</v>
      </c>
      <c r="B667" t="s">
        <v>26</v>
      </c>
      <c r="C667" t="s">
        <v>1627</v>
      </c>
      <c r="D667" s="1" t="s">
        <v>1644</v>
      </c>
      <c r="E667">
        <v>3.8</v>
      </c>
      <c r="F667" s="1" t="s">
        <v>1645</v>
      </c>
      <c r="G667" t="s">
        <v>263</v>
      </c>
      <c r="H667" t="s">
        <v>263</v>
      </c>
      <c r="I667" t="s">
        <v>107</v>
      </c>
      <c r="J667">
        <v>2005</v>
      </c>
      <c r="K667" t="s">
        <v>53</v>
      </c>
      <c r="L667" t="s">
        <v>92</v>
      </c>
      <c r="M667" t="s">
        <v>60</v>
      </c>
      <c r="N667" t="s">
        <v>194</v>
      </c>
      <c r="O667">
        <v>-1</v>
      </c>
    </row>
    <row r="668" spans="1:15" ht="409.6" x14ac:dyDescent="0.3">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ht="409.6" x14ac:dyDescent="0.3">
      <c r="A669">
        <v>667</v>
      </c>
      <c r="B669" t="s">
        <v>26</v>
      </c>
      <c r="C669" t="s">
        <v>1627</v>
      </c>
      <c r="D669" s="1" t="s">
        <v>1649</v>
      </c>
      <c r="E669">
        <v>3.6</v>
      </c>
      <c r="F669" s="1" t="s">
        <v>1650</v>
      </c>
      <c r="G669" t="s">
        <v>1651</v>
      </c>
      <c r="H669" t="s">
        <v>1651</v>
      </c>
      <c r="I669" t="s">
        <v>20</v>
      </c>
      <c r="J669">
        <v>1989</v>
      </c>
      <c r="K669" t="s">
        <v>53</v>
      </c>
      <c r="L669" t="s">
        <v>54</v>
      </c>
      <c r="M669" t="s">
        <v>34</v>
      </c>
      <c r="N669" t="s">
        <v>24</v>
      </c>
      <c r="O669">
        <v>-1</v>
      </c>
    </row>
    <row r="670" spans="1:15" ht="409.6" x14ac:dyDescent="0.3">
      <c r="A670">
        <v>668</v>
      </c>
      <c r="B670" t="s">
        <v>26</v>
      </c>
      <c r="C670" t="s">
        <v>1627</v>
      </c>
      <c r="D670" s="1" t="s">
        <v>1652</v>
      </c>
      <c r="E670">
        <v>-1</v>
      </c>
      <c r="F670" t="s">
        <v>1653</v>
      </c>
      <c r="G670" t="s">
        <v>143</v>
      </c>
      <c r="H670">
        <v>-1</v>
      </c>
      <c r="I670">
        <v>-1</v>
      </c>
      <c r="J670">
        <v>-1</v>
      </c>
      <c r="K670">
        <v>-1</v>
      </c>
      <c r="L670">
        <v>-1</v>
      </c>
      <c r="M670">
        <v>-1</v>
      </c>
      <c r="N670">
        <v>-1</v>
      </c>
      <c r="O670">
        <v>-1</v>
      </c>
    </row>
    <row r="671" spans="1:15" ht="409.6" x14ac:dyDescent="0.3">
      <c r="A671">
        <v>669</v>
      </c>
      <c r="B671" t="s">
        <v>26</v>
      </c>
      <c r="C671" t="s">
        <v>1627</v>
      </c>
      <c r="D671" s="1" t="s">
        <v>1654</v>
      </c>
      <c r="E671">
        <v>-1</v>
      </c>
      <c r="F671" t="s">
        <v>1655</v>
      </c>
      <c r="G671" t="s">
        <v>1656</v>
      </c>
      <c r="H671">
        <v>-1</v>
      </c>
      <c r="I671">
        <v>-1</v>
      </c>
      <c r="J671">
        <v>-1</v>
      </c>
      <c r="K671">
        <v>-1</v>
      </c>
      <c r="L671">
        <v>-1</v>
      </c>
      <c r="M671">
        <v>-1</v>
      </c>
      <c r="N671">
        <v>-1</v>
      </c>
      <c r="O671">
        <v>-1</v>
      </c>
    </row>
    <row r="672" spans="1:15" ht="57.6" x14ac:dyDescent="0.3">
      <c r="A672">
        <v>670</v>
      </c>
      <c r="B672" t="s">
        <v>26</v>
      </c>
      <c r="C672" t="s">
        <v>1627</v>
      </c>
      <c r="D672" t="s">
        <v>1657</v>
      </c>
      <c r="E672">
        <v>5</v>
      </c>
      <c r="F672" s="1" t="s">
        <v>1658</v>
      </c>
      <c r="G672" t="s">
        <v>143</v>
      </c>
      <c r="H672" t="s">
        <v>258</v>
      </c>
      <c r="I672" t="s">
        <v>117</v>
      </c>
      <c r="J672">
        <v>-1</v>
      </c>
      <c r="K672" t="s">
        <v>53</v>
      </c>
      <c r="L672" t="s">
        <v>54</v>
      </c>
      <c r="M672" t="s">
        <v>34</v>
      </c>
      <c r="N672" t="s">
        <v>212</v>
      </c>
      <c r="O672">
        <v>-1</v>
      </c>
    </row>
    <row r="673" spans="1:15" ht="409.6" x14ac:dyDescent="0.3">
      <c r="A673">
        <v>671</v>
      </c>
      <c r="B673" t="s">
        <v>26</v>
      </c>
      <c r="C673" t="s">
        <v>1627</v>
      </c>
      <c r="D673" s="1" t="s">
        <v>1428</v>
      </c>
      <c r="E673">
        <v>2.7</v>
      </c>
      <c r="F673" s="1" t="s">
        <v>1429</v>
      </c>
      <c r="G673" t="s">
        <v>19</v>
      </c>
      <c r="H673" t="s">
        <v>1430</v>
      </c>
      <c r="I673" t="s">
        <v>20</v>
      </c>
      <c r="J673">
        <v>1976</v>
      </c>
      <c r="K673" t="s">
        <v>32</v>
      </c>
      <c r="L673" t="s">
        <v>1431</v>
      </c>
      <c r="M673" t="s">
        <v>34</v>
      </c>
      <c r="N673" t="s">
        <v>35</v>
      </c>
      <c r="O67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FCA0-A9C9-4738-A63F-0BA81BF2D388}">
  <sheetPr>
    <tabColor rgb="FF00B050"/>
  </sheetPr>
  <dimension ref="A1:R673"/>
  <sheetViews>
    <sheetView zoomScale="98" zoomScaleNormal="98" workbookViewId="0">
      <pane ySplit="1" topLeftCell="A26" activePane="bottomLeft" state="frozen"/>
      <selection pane="bottomLeft" activeCell="I4" sqref="I4"/>
    </sheetView>
  </sheetViews>
  <sheetFormatPr defaultRowHeight="19.95" customHeight="1" x14ac:dyDescent="0.3"/>
  <cols>
    <col min="1" max="1" width="9.88671875" customWidth="1"/>
    <col min="2" max="2" width="16.21875" customWidth="1"/>
    <col min="3" max="3" width="8.77734375" customWidth="1"/>
    <col min="4" max="4" width="16.44140625" customWidth="1"/>
    <col min="5" max="5" width="10.21875" customWidth="1"/>
    <col min="6" max="6" width="14.6640625" style="2" customWidth="1"/>
    <col min="7" max="7" width="8.77734375" style="2" customWidth="1"/>
    <col min="8" max="8" width="10.33203125" customWidth="1"/>
    <col min="9" max="9" width="17.88671875" style="2" customWidth="1"/>
    <col min="10" max="10" width="9.88671875" style="2" customWidth="1"/>
    <col min="11" max="11" width="8.77734375" style="2" customWidth="1"/>
    <col min="12" max="12" width="10.109375" style="2" customWidth="1"/>
    <col min="13" max="13" width="25.33203125" style="2" customWidth="1"/>
    <col min="14" max="14" width="11.88671875" customWidth="1"/>
    <col min="15" max="15" width="12.21875" customWidth="1"/>
    <col min="16" max="16" width="12.109375" customWidth="1"/>
    <col min="17" max="17" width="14.77734375" customWidth="1"/>
    <col min="18" max="18" width="19.77734375" bestFit="1" customWidth="1"/>
  </cols>
  <sheetData>
    <row r="1" spans="1:18" ht="19.95" customHeight="1" x14ac:dyDescent="0.3">
      <c r="A1" s="10" t="s">
        <v>1</v>
      </c>
      <c r="B1" s="11" t="s">
        <v>2</v>
      </c>
      <c r="C1" s="11" t="s">
        <v>4</v>
      </c>
      <c r="D1" s="11" t="s">
        <v>5</v>
      </c>
      <c r="E1" s="11" t="s">
        <v>6</v>
      </c>
      <c r="F1" s="11" t="s">
        <v>7</v>
      </c>
      <c r="G1" s="11" t="s">
        <v>8</v>
      </c>
      <c r="H1" s="11" t="s">
        <v>9</v>
      </c>
      <c r="I1" s="11" t="s">
        <v>10</v>
      </c>
      <c r="J1" s="11" t="s">
        <v>11</v>
      </c>
      <c r="K1" s="11" t="s">
        <v>12</v>
      </c>
      <c r="L1" s="11" t="s">
        <v>13</v>
      </c>
      <c r="M1" s="11" t="s">
        <v>14</v>
      </c>
      <c r="N1" s="11" t="s">
        <v>2378</v>
      </c>
      <c r="O1" s="11" t="s">
        <v>2377</v>
      </c>
      <c r="P1" s="11" t="s">
        <v>2376</v>
      </c>
      <c r="Q1" s="11" t="s">
        <v>2379</v>
      </c>
      <c r="R1" s="12" t="s">
        <v>2381</v>
      </c>
    </row>
    <row r="2" spans="1:18" ht="19.95" customHeight="1" x14ac:dyDescent="0.3">
      <c r="A2" s="13" t="s">
        <v>15</v>
      </c>
      <c r="B2" s="14" t="s">
        <v>1704</v>
      </c>
      <c r="C2" s="14">
        <v>3.1</v>
      </c>
      <c r="D2" s="15" t="s">
        <v>1973</v>
      </c>
      <c r="E2" s="14" t="s">
        <v>19</v>
      </c>
      <c r="F2" s="16" t="s">
        <v>1744</v>
      </c>
      <c r="G2" s="16" t="s">
        <v>20</v>
      </c>
      <c r="H2" s="14">
        <v>1993</v>
      </c>
      <c r="I2" s="16" t="s">
        <v>21</v>
      </c>
      <c r="J2" s="16" t="s">
        <v>22</v>
      </c>
      <c r="K2" s="16" t="s">
        <v>23</v>
      </c>
      <c r="L2" s="16" t="s">
        <v>24</v>
      </c>
      <c r="M2" s="16" t="s">
        <v>25</v>
      </c>
      <c r="N2" s="14">
        <v>137</v>
      </c>
      <c r="O2" s="14">
        <v>171</v>
      </c>
      <c r="P2" s="14">
        <v>154</v>
      </c>
      <c r="Q2" s="14">
        <v>33</v>
      </c>
      <c r="R2" s="17" t="str">
        <f>IF(Cleaned_DS_jobs!$Q2&lt;10,"little_age_company",IF(AND(Cleaned_DS_jobs!$Q2&gt;=10,Cleaned_DS_jobs!$Q2&lt;=20),"average_age_company","Big_age_company"))</f>
        <v>Big_age_company</v>
      </c>
    </row>
    <row r="3" spans="1:18" ht="19.95" customHeight="1" x14ac:dyDescent="0.3">
      <c r="A3" s="18" t="s">
        <v>26</v>
      </c>
      <c r="B3" s="19" t="s">
        <v>1704</v>
      </c>
      <c r="C3" s="19">
        <v>4.2</v>
      </c>
      <c r="D3" s="20" t="s">
        <v>1974</v>
      </c>
      <c r="E3" s="19" t="s">
        <v>29</v>
      </c>
      <c r="F3" s="21" t="s">
        <v>1745</v>
      </c>
      <c r="G3" s="21" t="s">
        <v>31</v>
      </c>
      <c r="H3" s="19">
        <v>1968</v>
      </c>
      <c r="I3" s="21" t="s">
        <v>32</v>
      </c>
      <c r="J3" s="21" t="s">
        <v>33</v>
      </c>
      <c r="K3" s="21" t="s">
        <v>34</v>
      </c>
      <c r="L3" s="21" t="s">
        <v>35</v>
      </c>
      <c r="M3" s="21">
        <v>-1</v>
      </c>
      <c r="N3" s="19">
        <v>137</v>
      </c>
      <c r="O3" s="19">
        <v>171</v>
      </c>
      <c r="P3" s="19">
        <v>154</v>
      </c>
      <c r="Q3" s="19">
        <v>58</v>
      </c>
      <c r="R3" s="22" t="str">
        <f>IF(Cleaned_DS_jobs!$Q3&lt;10,"little_age_company",IF(AND(Cleaned_DS_jobs!$Q3&gt;=10,Cleaned_DS_jobs!$Q3&lt;=20),"average_age_company","Big_age_company"))</f>
        <v>Big_age_company</v>
      </c>
    </row>
    <row r="4" spans="1:18" ht="19.95" customHeight="1" x14ac:dyDescent="0.3">
      <c r="A4" s="13" t="s">
        <v>26</v>
      </c>
      <c r="B4" s="14" t="s">
        <v>1704</v>
      </c>
      <c r="C4" s="14">
        <v>3.8</v>
      </c>
      <c r="D4" s="15" t="s">
        <v>1975</v>
      </c>
      <c r="E4" s="14" t="s">
        <v>38</v>
      </c>
      <c r="F4" s="16" t="s">
        <v>1746</v>
      </c>
      <c r="G4" s="16" t="s">
        <v>20</v>
      </c>
      <c r="H4" s="14">
        <v>1981</v>
      </c>
      <c r="I4" s="16" t="s">
        <v>39</v>
      </c>
      <c r="J4" s="16" t="s">
        <v>40</v>
      </c>
      <c r="K4" s="16" t="s">
        <v>34</v>
      </c>
      <c r="L4" s="16" t="s">
        <v>41</v>
      </c>
      <c r="M4" s="16">
        <v>-1</v>
      </c>
      <c r="N4" s="14">
        <v>137</v>
      </c>
      <c r="O4" s="14">
        <v>171</v>
      </c>
      <c r="P4" s="14">
        <v>154</v>
      </c>
      <c r="Q4" s="14">
        <v>45</v>
      </c>
      <c r="R4" s="17" t="str">
        <f>IF(Cleaned_DS_jobs!$Q4&lt;10,"little_age_company",IF(AND(Cleaned_DS_jobs!$Q4&gt;=10,Cleaned_DS_jobs!$Q4&lt;=20),"average_age_company","Big_age_company"))</f>
        <v>Big_age_company</v>
      </c>
    </row>
    <row r="5" spans="1:18" ht="19.95" customHeight="1" x14ac:dyDescent="0.3">
      <c r="A5" s="18" t="s">
        <v>26</v>
      </c>
      <c r="B5" s="19" t="s">
        <v>1704</v>
      </c>
      <c r="C5" s="19">
        <v>3.5</v>
      </c>
      <c r="D5" s="20" t="s">
        <v>1976</v>
      </c>
      <c r="E5" s="19" t="s">
        <v>44</v>
      </c>
      <c r="F5" s="21" t="s">
        <v>1747</v>
      </c>
      <c r="G5" s="21" t="s">
        <v>46</v>
      </c>
      <c r="H5" s="19">
        <v>2000</v>
      </c>
      <c r="I5" s="21" t="s">
        <v>32</v>
      </c>
      <c r="J5" s="21" t="s">
        <v>47</v>
      </c>
      <c r="K5" s="21" t="s">
        <v>48</v>
      </c>
      <c r="L5" s="21" t="s">
        <v>41</v>
      </c>
      <c r="M5" s="21" t="s">
        <v>49</v>
      </c>
      <c r="N5" s="19">
        <v>137</v>
      </c>
      <c r="O5" s="19">
        <v>171</v>
      </c>
      <c r="P5" s="19">
        <v>154</v>
      </c>
      <c r="Q5" s="19">
        <v>26</v>
      </c>
      <c r="R5" s="22" t="str">
        <f>IF(Cleaned_DS_jobs!$Q5&lt;10,"little_age_company",IF(AND(Cleaned_DS_jobs!$Q5&gt;=10,Cleaned_DS_jobs!$Q5&lt;=20),"average_age_company","Big_age_company"))</f>
        <v>Big_age_company</v>
      </c>
    </row>
    <row r="6" spans="1:18" ht="19.95" customHeight="1" x14ac:dyDescent="0.3">
      <c r="A6" s="13" t="s">
        <v>26</v>
      </c>
      <c r="B6" s="14" t="s">
        <v>1704</v>
      </c>
      <c r="C6" s="14">
        <v>2.9</v>
      </c>
      <c r="D6" s="15" t="s">
        <v>1977</v>
      </c>
      <c r="E6" s="14" t="s">
        <v>19</v>
      </c>
      <c r="F6" s="16" t="s">
        <v>1744</v>
      </c>
      <c r="G6" s="16" t="s">
        <v>52</v>
      </c>
      <c r="H6" s="14">
        <v>1998</v>
      </c>
      <c r="I6" s="16" t="s">
        <v>53</v>
      </c>
      <c r="J6" s="16" t="s">
        <v>54</v>
      </c>
      <c r="K6" s="16" t="s">
        <v>34</v>
      </c>
      <c r="L6" s="16" t="s">
        <v>24</v>
      </c>
      <c r="M6" s="16" t="s">
        <v>55</v>
      </c>
      <c r="N6" s="14">
        <v>137</v>
      </c>
      <c r="O6" s="14">
        <v>171</v>
      </c>
      <c r="P6" s="14">
        <v>154</v>
      </c>
      <c r="Q6" s="14">
        <v>28</v>
      </c>
      <c r="R6" s="17" t="str">
        <f>IF(Cleaned_DS_jobs!$Q6&lt;10,"little_age_company",IF(AND(Cleaned_DS_jobs!$Q6&gt;=10,Cleaned_DS_jobs!$Q6&lt;=20),"average_age_company","Big_age_company"))</f>
        <v>Big_age_company</v>
      </c>
    </row>
    <row r="7" spans="1:18" ht="19.95" customHeight="1" x14ac:dyDescent="0.3">
      <c r="A7" s="18" t="s">
        <v>26</v>
      </c>
      <c r="B7" s="19" t="s">
        <v>1704</v>
      </c>
      <c r="C7" s="19">
        <v>4.2</v>
      </c>
      <c r="D7" s="20" t="s">
        <v>1978</v>
      </c>
      <c r="E7" s="19" t="s">
        <v>58</v>
      </c>
      <c r="F7" s="21" t="s">
        <v>1748</v>
      </c>
      <c r="G7" s="21" t="s">
        <v>52</v>
      </c>
      <c r="H7" s="19">
        <v>2010</v>
      </c>
      <c r="I7" s="21" t="s">
        <v>53</v>
      </c>
      <c r="J7" s="21" t="s">
        <v>59</v>
      </c>
      <c r="K7" s="21" t="s">
        <v>60</v>
      </c>
      <c r="L7" s="21" t="s">
        <v>24</v>
      </c>
      <c r="M7" s="21">
        <v>-1</v>
      </c>
      <c r="N7" s="19">
        <v>137</v>
      </c>
      <c r="O7" s="19">
        <v>171</v>
      </c>
      <c r="P7" s="19">
        <v>154</v>
      </c>
      <c r="Q7" s="19">
        <v>16</v>
      </c>
      <c r="R7" s="22" t="str">
        <f>IF(Cleaned_DS_jobs!$Q7&lt;10,"little_age_company",IF(AND(Cleaned_DS_jobs!$Q7&gt;=10,Cleaned_DS_jobs!$Q7&lt;=20),"average_age_company","Big_age_company"))</f>
        <v>average_age_company</v>
      </c>
    </row>
    <row r="8" spans="1:18" ht="19.95" customHeight="1" x14ac:dyDescent="0.3">
      <c r="A8" s="13" t="s">
        <v>61</v>
      </c>
      <c r="B8" s="14" t="s">
        <v>1704</v>
      </c>
      <c r="C8" s="14">
        <v>3.9</v>
      </c>
      <c r="D8" s="15" t="s">
        <v>1979</v>
      </c>
      <c r="E8" s="14" t="s">
        <v>64</v>
      </c>
      <c r="F8" s="16" t="s">
        <v>1749</v>
      </c>
      <c r="G8" s="16" t="s">
        <v>66</v>
      </c>
      <c r="H8" s="14">
        <v>1996</v>
      </c>
      <c r="I8" s="16" t="s">
        <v>32</v>
      </c>
      <c r="J8" s="16" t="s">
        <v>67</v>
      </c>
      <c r="K8" s="16" t="s">
        <v>67</v>
      </c>
      <c r="L8" s="16" t="s">
        <v>68</v>
      </c>
      <c r="M8" s="16">
        <v>-1</v>
      </c>
      <c r="N8" s="14">
        <v>137</v>
      </c>
      <c r="O8" s="14">
        <v>171</v>
      </c>
      <c r="P8" s="14">
        <v>154</v>
      </c>
      <c r="Q8" s="14">
        <v>30</v>
      </c>
      <c r="R8" s="17" t="str">
        <f>IF(Cleaned_DS_jobs!$Q8&lt;10,"little_age_company",IF(AND(Cleaned_DS_jobs!$Q8&gt;=10,Cleaned_DS_jobs!$Q8&lt;=20),"average_age_company","Big_age_company"))</f>
        <v>Big_age_company</v>
      </c>
    </row>
    <row r="9" spans="1:18" ht="19.95" customHeight="1" x14ac:dyDescent="0.3">
      <c r="A9" s="18" t="s">
        <v>26</v>
      </c>
      <c r="B9" s="19" t="s">
        <v>1704</v>
      </c>
      <c r="C9" s="19">
        <v>3.5</v>
      </c>
      <c r="D9" s="20" t="s">
        <v>1980</v>
      </c>
      <c r="E9" s="19" t="s">
        <v>71</v>
      </c>
      <c r="F9" s="21" t="s">
        <v>1750</v>
      </c>
      <c r="G9" s="21" t="s">
        <v>20</v>
      </c>
      <c r="H9" s="19">
        <v>1990</v>
      </c>
      <c r="I9" s="21" t="s">
        <v>32</v>
      </c>
      <c r="J9" s="21" t="s">
        <v>72</v>
      </c>
      <c r="K9" s="21" t="s">
        <v>73</v>
      </c>
      <c r="L9" s="21" t="s">
        <v>35</v>
      </c>
      <c r="M9" s="21">
        <v>-1</v>
      </c>
      <c r="N9" s="19">
        <v>137</v>
      </c>
      <c r="O9" s="19">
        <v>171</v>
      </c>
      <c r="P9" s="19">
        <v>154</v>
      </c>
      <c r="Q9" s="19">
        <v>36</v>
      </c>
      <c r="R9" s="22" t="str">
        <f>IF(Cleaned_DS_jobs!$Q9&lt;10,"little_age_company",IF(AND(Cleaned_DS_jobs!$Q9&gt;=10,Cleaned_DS_jobs!$Q9&lt;=20),"average_age_company","Big_age_company"))</f>
        <v>Big_age_company</v>
      </c>
    </row>
    <row r="10" spans="1:18" ht="19.95" customHeight="1" x14ac:dyDescent="0.3">
      <c r="A10" s="13" t="s">
        <v>74</v>
      </c>
      <c r="B10" s="14" t="s">
        <v>1704</v>
      </c>
      <c r="C10" s="14">
        <v>4.4000000000000004</v>
      </c>
      <c r="D10" s="15" t="s">
        <v>1981</v>
      </c>
      <c r="E10" s="14" t="s">
        <v>77</v>
      </c>
      <c r="F10" s="16" t="s">
        <v>1751</v>
      </c>
      <c r="G10" s="16" t="s">
        <v>31</v>
      </c>
      <c r="H10" s="14">
        <v>1983</v>
      </c>
      <c r="I10" s="16" t="s">
        <v>32</v>
      </c>
      <c r="J10" s="16" t="s">
        <v>59</v>
      </c>
      <c r="K10" s="16" t="s">
        <v>60</v>
      </c>
      <c r="L10" s="16" t="s">
        <v>79</v>
      </c>
      <c r="M10" s="16" t="s">
        <v>80</v>
      </c>
      <c r="N10" s="14">
        <v>137</v>
      </c>
      <c r="O10" s="14">
        <v>171</v>
      </c>
      <c r="P10" s="14">
        <v>154</v>
      </c>
      <c r="Q10" s="14">
        <v>43</v>
      </c>
      <c r="R10" s="17" t="str">
        <f>IF(Cleaned_DS_jobs!$Q10&lt;10,"little_age_company",IF(AND(Cleaned_DS_jobs!$Q10&gt;=10,Cleaned_DS_jobs!$Q10&lt;=20),"average_age_company","Big_age_company"))</f>
        <v>Big_age_company</v>
      </c>
    </row>
    <row r="11" spans="1:18" ht="19.95" customHeight="1" x14ac:dyDescent="0.3">
      <c r="A11" s="18" t="s">
        <v>26</v>
      </c>
      <c r="B11" s="19" t="s">
        <v>1704</v>
      </c>
      <c r="C11" s="19">
        <v>3.6</v>
      </c>
      <c r="D11" s="20" t="s">
        <v>1982</v>
      </c>
      <c r="E11" s="19" t="s">
        <v>83</v>
      </c>
      <c r="F11" s="21" t="s">
        <v>1752</v>
      </c>
      <c r="G11" s="21" t="s">
        <v>52</v>
      </c>
      <c r="H11" s="19">
        <v>2014</v>
      </c>
      <c r="I11" s="21" t="s">
        <v>53</v>
      </c>
      <c r="J11" s="21" t="s">
        <v>84</v>
      </c>
      <c r="K11" s="21" t="s">
        <v>60</v>
      </c>
      <c r="L11" s="21" t="s">
        <v>24</v>
      </c>
      <c r="M11" s="21">
        <v>-1</v>
      </c>
      <c r="N11" s="19">
        <v>137</v>
      </c>
      <c r="O11" s="19">
        <v>171</v>
      </c>
      <c r="P11" s="19">
        <v>154</v>
      </c>
      <c r="Q11" s="19">
        <v>12</v>
      </c>
      <c r="R11" s="22" t="str">
        <f>IF(Cleaned_DS_jobs!$Q11&lt;10,"little_age_company",IF(AND(Cleaned_DS_jobs!$Q11&gt;=10,Cleaned_DS_jobs!$Q11&lt;=20),"average_age_company","Big_age_company"))</f>
        <v>average_age_company</v>
      </c>
    </row>
    <row r="12" spans="1:18" ht="19.95" customHeight="1" x14ac:dyDescent="0.3">
      <c r="A12" s="13" t="s">
        <v>26</v>
      </c>
      <c r="B12" s="14" t="s">
        <v>1704</v>
      </c>
      <c r="C12" s="14">
        <v>4.5</v>
      </c>
      <c r="D12" s="15" t="s">
        <v>1983</v>
      </c>
      <c r="E12" s="14" t="s">
        <v>30</v>
      </c>
      <c r="F12" s="16" t="s">
        <v>1753</v>
      </c>
      <c r="G12" s="16" t="s">
        <v>46</v>
      </c>
      <c r="H12" s="14">
        <v>2012</v>
      </c>
      <c r="I12" s="16" t="s">
        <v>53</v>
      </c>
      <c r="J12" s="16" t="s">
        <v>84</v>
      </c>
      <c r="K12" s="16" t="s">
        <v>60</v>
      </c>
      <c r="L12" s="16" t="s">
        <v>41</v>
      </c>
      <c r="M12" s="16" t="s">
        <v>88</v>
      </c>
      <c r="N12" s="14">
        <v>137</v>
      </c>
      <c r="O12" s="14">
        <v>171</v>
      </c>
      <c r="P12" s="14">
        <v>154</v>
      </c>
      <c r="Q12" s="14">
        <v>14</v>
      </c>
      <c r="R12" s="17" t="str">
        <f>IF(Cleaned_DS_jobs!$Q12&lt;10,"little_age_company",IF(AND(Cleaned_DS_jobs!$Q12&gt;=10,Cleaned_DS_jobs!$Q12&lt;=20),"average_age_company","Big_age_company"))</f>
        <v>average_age_company</v>
      </c>
    </row>
    <row r="13" spans="1:18" ht="19.95" customHeight="1" x14ac:dyDescent="0.3">
      <c r="A13" s="18" t="s">
        <v>26</v>
      </c>
      <c r="B13" s="19" t="s">
        <v>1704</v>
      </c>
      <c r="C13" s="19">
        <v>4.7</v>
      </c>
      <c r="D13" s="20" t="s">
        <v>1984</v>
      </c>
      <c r="E13" s="19" t="s">
        <v>91</v>
      </c>
      <c r="F13" s="21" t="s">
        <v>1754</v>
      </c>
      <c r="G13" s="21" t="s">
        <v>52</v>
      </c>
      <c r="H13" s="19">
        <v>2016</v>
      </c>
      <c r="I13" s="21" t="s">
        <v>53</v>
      </c>
      <c r="J13" s="21" t="s">
        <v>92</v>
      </c>
      <c r="K13" s="21" t="s">
        <v>60</v>
      </c>
      <c r="L13" s="21" t="s">
        <v>24</v>
      </c>
      <c r="M13" s="21" t="s">
        <v>93</v>
      </c>
      <c r="N13" s="19">
        <v>137</v>
      </c>
      <c r="O13" s="19">
        <v>171</v>
      </c>
      <c r="P13" s="19">
        <v>154</v>
      </c>
      <c r="Q13" s="19">
        <v>10</v>
      </c>
      <c r="R13" s="22" t="str">
        <f>IF(Cleaned_DS_jobs!$Q13&lt;10,"little_age_company",IF(AND(Cleaned_DS_jobs!$Q13&gt;=10,Cleaned_DS_jobs!$Q13&lt;=20),"average_age_company","Big_age_company"))</f>
        <v>average_age_company</v>
      </c>
    </row>
    <row r="14" spans="1:18" ht="19.95" customHeight="1" x14ac:dyDescent="0.3">
      <c r="A14" s="13" t="s">
        <v>94</v>
      </c>
      <c r="B14" s="14" t="s">
        <v>1704</v>
      </c>
      <c r="C14" s="14">
        <v>3.7</v>
      </c>
      <c r="D14" s="15" t="s">
        <v>1985</v>
      </c>
      <c r="E14" s="14" t="s">
        <v>97</v>
      </c>
      <c r="F14" s="16" t="s">
        <v>1755</v>
      </c>
      <c r="G14" s="16" t="s">
        <v>20</v>
      </c>
      <c r="H14" s="14">
        <v>1965</v>
      </c>
      <c r="I14" s="16" t="s">
        <v>98</v>
      </c>
      <c r="J14" s="16" t="s">
        <v>99</v>
      </c>
      <c r="K14" s="16" t="s">
        <v>100</v>
      </c>
      <c r="L14" s="16" t="s">
        <v>101</v>
      </c>
      <c r="M14" s="16" t="s">
        <v>102</v>
      </c>
      <c r="N14" s="14">
        <v>137</v>
      </c>
      <c r="O14" s="14">
        <v>171</v>
      </c>
      <c r="P14" s="14">
        <v>154</v>
      </c>
      <c r="Q14" s="14">
        <v>61</v>
      </c>
      <c r="R14" s="17" t="str">
        <f>IF(Cleaned_DS_jobs!$Q14&lt;10,"little_age_company",IF(AND(Cleaned_DS_jobs!$Q14&gt;=10,Cleaned_DS_jobs!$Q14&lt;=20),"average_age_company","Big_age_company"))</f>
        <v>Big_age_company</v>
      </c>
    </row>
    <row r="15" spans="1:18" ht="19.95" customHeight="1" x14ac:dyDescent="0.3">
      <c r="A15" s="18" t="s">
        <v>103</v>
      </c>
      <c r="B15" s="19" t="s">
        <v>1704</v>
      </c>
      <c r="C15" s="19">
        <v>3.1</v>
      </c>
      <c r="D15" s="20" t="s">
        <v>1986</v>
      </c>
      <c r="E15" s="19" t="s">
        <v>106</v>
      </c>
      <c r="F15" s="21" t="s">
        <v>1756</v>
      </c>
      <c r="G15" s="21" t="s">
        <v>107</v>
      </c>
      <c r="H15" s="19">
        <v>1973</v>
      </c>
      <c r="I15" s="21" t="s">
        <v>53</v>
      </c>
      <c r="J15" s="21" t="s">
        <v>108</v>
      </c>
      <c r="K15" s="21" t="s">
        <v>48</v>
      </c>
      <c r="L15" s="21" t="s">
        <v>35</v>
      </c>
      <c r="M15" s="21">
        <v>-1</v>
      </c>
      <c r="N15" s="19">
        <v>137</v>
      </c>
      <c r="O15" s="19">
        <v>171</v>
      </c>
      <c r="P15" s="19">
        <v>154</v>
      </c>
      <c r="Q15" s="19">
        <v>53</v>
      </c>
      <c r="R15" s="22" t="str">
        <f>IF(Cleaned_DS_jobs!$Q15&lt;10,"little_age_company",IF(AND(Cleaned_DS_jobs!$Q15&gt;=10,Cleaned_DS_jobs!$Q15&lt;=20),"average_age_company","Big_age_company"))</f>
        <v>Big_age_company</v>
      </c>
    </row>
    <row r="16" spans="1:18" ht="19.95" customHeight="1" x14ac:dyDescent="0.3">
      <c r="A16" s="13" t="s">
        <v>26</v>
      </c>
      <c r="B16" s="14" t="s">
        <v>1704</v>
      </c>
      <c r="C16" s="14">
        <v>3.4</v>
      </c>
      <c r="D16" s="15" t="s">
        <v>1987</v>
      </c>
      <c r="E16" s="14" t="s">
        <v>111</v>
      </c>
      <c r="F16" s="16" t="s">
        <v>1757</v>
      </c>
      <c r="G16" s="16" t="s">
        <v>20</v>
      </c>
      <c r="H16" s="14">
        <v>1986</v>
      </c>
      <c r="I16" s="16" t="s">
        <v>53</v>
      </c>
      <c r="J16" s="16" t="s">
        <v>40</v>
      </c>
      <c r="K16" s="16" t="s">
        <v>34</v>
      </c>
      <c r="L16" s="16" t="s">
        <v>41</v>
      </c>
      <c r="M16" s="16">
        <v>-1</v>
      </c>
      <c r="N16" s="14">
        <v>137</v>
      </c>
      <c r="O16" s="14">
        <v>171</v>
      </c>
      <c r="P16" s="14">
        <v>154</v>
      </c>
      <c r="Q16" s="14">
        <v>40</v>
      </c>
      <c r="R16" s="17" t="str">
        <f>IF(Cleaned_DS_jobs!$Q16&lt;10,"little_age_company",IF(AND(Cleaned_DS_jobs!$Q16&gt;=10,Cleaned_DS_jobs!$Q16&lt;=20),"average_age_company","Big_age_company"))</f>
        <v>Big_age_company</v>
      </c>
    </row>
    <row r="17" spans="1:18" ht="19.95" customHeight="1" x14ac:dyDescent="0.3">
      <c r="A17" s="18" t="s">
        <v>113</v>
      </c>
      <c r="B17" s="19" t="s">
        <v>1704</v>
      </c>
      <c r="C17" s="19">
        <v>4.4000000000000004</v>
      </c>
      <c r="D17" s="20" t="s">
        <v>1988</v>
      </c>
      <c r="E17" s="19" t="s">
        <v>111</v>
      </c>
      <c r="F17" s="21" t="s">
        <v>1758</v>
      </c>
      <c r="G17" s="21" t="s">
        <v>117</v>
      </c>
      <c r="H17" s="19">
        <v>1997</v>
      </c>
      <c r="I17" s="21" t="s">
        <v>53</v>
      </c>
      <c r="J17" s="21" t="s">
        <v>118</v>
      </c>
      <c r="K17" s="21" t="s">
        <v>98</v>
      </c>
      <c r="L17" s="21" t="s">
        <v>24</v>
      </c>
      <c r="M17" s="21">
        <v>-1</v>
      </c>
      <c r="N17" s="19">
        <v>137</v>
      </c>
      <c r="O17" s="19">
        <v>171</v>
      </c>
      <c r="P17" s="19">
        <v>154</v>
      </c>
      <c r="Q17" s="19">
        <v>29</v>
      </c>
      <c r="R17" s="22" t="str">
        <f>IF(Cleaned_DS_jobs!$Q17&lt;10,"little_age_company",IF(AND(Cleaned_DS_jobs!$Q17&gt;=10,Cleaned_DS_jobs!$Q17&lt;=20),"average_age_company","Big_age_company"))</f>
        <v>Big_age_company</v>
      </c>
    </row>
    <row r="18" spans="1:18" ht="19.95" customHeight="1" x14ac:dyDescent="0.3">
      <c r="A18" s="13" t="s">
        <v>119</v>
      </c>
      <c r="B18" s="14" t="s">
        <v>1704</v>
      </c>
      <c r="C18" s="14">
        <v>4.0999999999999996</v>
      </c>
      <c r="D18" s="15" t="s">
        <v>1989</v>
      </c>
      <c r="E18" s="14" t="s">
        <v>122</v>
      </c>
      <c r="F18" s="16" t="s">
        <v>1759</v>
      </c>
      <c r="G18" s="16" t="s">
        <v>52</v>
      </c>
      <c r="H18" s="14">
        <v>2015</v>
      </c>
      <c r="I18" s="16" t="s">
        <v>53</v>
      </c>
      <c r="J18" s="16" t="s">
        <v>123</v>
      </c>
      <c r="K18" s="16" t="s">
        <v>60</v>
      </c>
      <c r="L18" s="16" t="s">
        <v>24</v>
      </c>
      <c r="M18" s="16">
        <v>-1</v>
      </c>
      <c r="N18" s="14">
        <v>137</v>
      </c>
      <c r="O18" s="14">
        <v>171</v>
      </c>
      <c r="P18" s="14">
        <v>154</v>
      </c>
      <c r="Q18" s="14">
        <v>11</v>
      </c>
      <c r="R18" s="17" t="str">
        <f>IF(Cleaned_DS_jobs!$Q18&lt;10,"little_age_company",IF(AND(Cleaned_DS_jobs!$Q18&gt;=10,Cleaned_DS_jobs!$Q18&lt;=20),"average_age_company","Big_age_company"))</f>
        <v>average_age_company</v>
      </c>
    </row>
    <row r="19" spans="1:18" ht="19.95" customHeight="1" x14ac:dyDescent="0.3">
      <c r="A19" s="18" t="s">
        <v>26</v>
      </c>
      <c r="B19" s="19" t="s">
        <v>1704</v>
      </c>
      <c r="C19" s="19">
        <v>3.5</v>
      </c>
      <c r="D19" s="20" t="s">
        <v>1990</v>
      </c>
      <c r="E19" s="19" t="s">
        <v>126</v>
      </c>
      <c r="F19" s="21" t="s">
        <v>1760</v>
      </c>
      <c r="G19" s="21" t="s">
        <v>20</v>
      </c>
      <c r="H19" s="19">
        <v>1945</v>
      </c>
      <c r="I19" s="21" t="s">
        <v>53</v>
      </c>
      <c r="J19" s="21" t="s">
        <v>108</v>
      </c>
      <c r="K19" s="21" t="s">
        <v>48</v>
      </c>
      <c r="L19" s="21" t="s">
        <v>101</v>
      </c>
      <c r="M19" s="21">
        <v>-1</v>
      </c>
      <c r="N19" s="19">
        <v>137</v>
      </c>
      <c r="O19" s="19">
        <v>171</v>
      </c>
      <c r="P19" s="19">
        <v>154</v>
      </c>
      <c r="Q19" s="19">
        <v>81</v>
      </c>
      <c r="R19" s="22" t="str">
        <f>IF(Cleaned_DS_jobs!$Q19&lt;10,"little_age_company",IF(AND(Cleaned_DS_jobs!$Q19&gt;=10,Cleaned_DS_jobs!$Q19&lt;=20),"average_age_company","Big_age_company"))</f>
        <v>Big_age_company</v>
      </c>
    </row>
    <row r="20" spans="1:18" ht="19.95" customHeight="1" x14ac:dyDescent="0.3">
      <c r="A20" s="13" t="s">
        <v>1659</v>
      </c>
      <c r="B20" s="14" t="s">
        <v>1704</v>
      </c>
      <c r="C20" s="14">
        <v>4.2</v>
      </c>
      <c r="D20" s="15" t="s">
        <v>1991</v>
      </c>
      <c r="E20" s="14" t="s">
        <v>130</v>
      </c>
      <c r="F20" s="16" t="s">
        <v>1761</v>
      </c>
      <c r="G20" s="16" t="s">
        <v>31</v>
      </c>
      <c r="H20" s="14">
        <v>1988</v>
      </c>
      <c r="I20" s="16" t="s">
        <v>32</v>
      </c>
      <c r="J20" s="16" t="s">
        <v>84</v>
      </c>
      <c r="K20" s="16" t="s">
        <v>60</v>
      </c>
      <c r="L20" s="16" t="s">
        <v>132</v>
      </c>
      <c r="M20" s="16" t="s">
        <v>133</v>
      </c>
      <c r="N20" s="14">
        <v>137</v>
      </c>
      <c r="O20" s="14">
        <v>171</v>
      </c>
      <c r="P20" s="14">
        <v>154</v>
      </c>
      <c r="Q20" s="14">
        <v>38</v>
      </c>
      <c r="R20" s="17" t="str">
        <f>IF(Cleaned_DS_jobs!$Q20&lt;10,"little_age_company",IF(AND(Cleaned_DS_jobs!$Q20&gt;=10,Cleaned_DS_jobs!$Q20&lt;=20),"average_age_company","Big_age_company"))</f>
        <v>Big_age_company</v>
      </c>
    </row>
    <row r="21" spans="1:18" ht="19.95" customHeight="1" x14ac:dyDescent="0.3">
      <c r="A21" s="18" t="s">
        <v>134</v>
      </c>
      <c r="B21" s="19" t="s">
        <v>1704</v>
      </c>
      <c r="C21" s="19">
        <v>3.5</v>
      </c>
      <c r="D21" s="20" t="s">
        <v>1992</v>
      </c>
      <c r="E21" s="19" t="s">
        <v>137</v>
      </c>
      <c r="F21" s="21" t="s">
        <v>1762</v>
      </c>
      <c r="G21" s="21" t="s">
        <v>31</v>
      </c>
      <c r="H21" s="19">
        <v>2017</v>
      </c>
      <c r="I21" s="21" t="s">
        <v>21</v>
      </c>
      <c r="J21" s="21" t="s">
        <v>139</v>
      </c>
      <c r="K21" s="21" t="s">
        <v>140</v>
      </c>
      <c r="L21" s="21" t="s">
        <v>24</v>
      </c>
      <c r="M21" s="21">
        <v>-1</v>
      </c>
      <c r="N21" s="19">
        <v>137</v>
      </c>
      <c r="O21" s="19">
        <v>171</v>
      </c>
      <c r="P21" s="19">
        <v>154</v>
      </c>
      <c r="Q21" s="19">
        <v>9</v>
      </c>
      <c r="R21" s="22" t="str">
        <f>IF(Cleaned_DS_jobs!$Q21&lt;10,"little_age_company",IF(AND(Cleaned_DS_jobs!$Q21&gt;=10,Cleaned_DS_jobs!$Q21&lt;=20),"average_age_company","Big_age_company"))</f>
        <v>little_age_company</v>
      </c>
    </row>
    <row r="22" spans="1:18" ht="19.95" customHeight="1" x14ac:dyDescent="0.3">
      <c r="A22" s="13" t="s">
        <v>26</v>
      </c>
      <c r="B22" s="14" t="s">
        <v>1704</v>
      </c>
      <c r="C22" s="14">
        <v>3.2</v>
      </c>
      <c r="D22" s="15" t="s">
        <v>1993</v>
      </c>
      <c r="E22" s="14" t="s">
        <v>19</v>
      </c>
      <c r="F22" s="16" t="s">
        <v>1763</v>
      </c>
      <c r="G22" s="16" t="s">
        <v>52</v>
      </c>
      <c r="H22" s="14">
        <v>2015</v>
      </c>
      <c r="I22" s="16" t="s">
        <v>53</v>
      </c>
      <c r="J22" s="16" t="s">
        <v>59</v>
      </c>
      <c r="K22" s="16" t="s">
        <v>60</v>
      </c>
      <c r="L22" s="16" t="s">
        <v>24</v>
      </c>
      <c r="M22" s="16">
        <v>-1</v>
      </c>
      <c r="N22" s="14">
        <v>137</v>
      </c>
      <c r="O22" s="14">
        <v>171</v>
      </c>
      <c r="P22" s="14">
        <v>154</v>
      </c>
      <c r="Q22" s="14">
        <v>11</v>
      </c>
      <c r="R22" s="17" t="str">
        <f>IF(Cleaned_DS_jobs!$Q22&lt;10,"little_age_company",IF(AND(Cleaned_DS_jobs!$Q22&gt;=10,Cleaned_DS_jobs!$Q22&lt;=20),"average_age_company","Big_age_company"))</f>
        <v>average_age_company</v>
      </c>
    </row>
    <row r="23" spans="1:18" ht="19.95" customHeight="1" x14ac:dyDescent="0.3">
      <c r="A23" s="18" t="s">
        <v>144</v>
      </c>
      <c r="B23" s="19" t="s">
        <v>1704</v>
      </c>
      <c r="C23" s="19">
        <v>4.3</v>
      </c>
      <c r="D23" s="20" t="s">
        <v>1994</v>
      </c>
      <c r="E23" s="19" t="s">
        <v>19</v>
      </c>
      <c r="F23" s="21" t="s">
        <v>1744</v>
      </c>
      <c r="G23" s="21" t="s">
        <v>52</v>
      </c>
      <c r="H23" s="19">
        <v>2011</v>
      </c>
      <c r="I23" s="21" t="s">
        <v>53</v>
      </c>
      <c r="J23" s="21" t="s">
        <v>123</v>
      </c>
      <c r="K23" s="21" t="s">
        <v>60</v>
      </c>
      <c r="L23" s="21" t="s">
        <v>41</v>
      </c>
      <c r="M23" s="21" t="s">
        <v>147</v>
      </c>
      <c r="N23" s="19">
        <v>137</v>
      </c>
      <c r="O23" s="19">
        <v>171</v>
      </c>
      <c r="P23" s="19">
        <v>154</v>
      </c>
      <c r="Q23" s="19">
        <v>15</v>
      </c>
      <c r="R23" s="22" t="str">
        <f>IF(Cleaned_DS_jobs!$Q23&lt;10,"little_age_company",IF(AND(Cleaned_DS_jobs!$Q23&gt;=10,Cleaned_DS_jobs!$Q23&lt;=20),"average_age_company","Big_age_company"))</f>
        <v>average_age_company</v>
      </c>
    </row>
    <row r="24" spans="1:18" ht="19.95" customHeight="1" x14ac:dyDescent="0.3">
      <c r="A24" s="13" t="s">
        <v>148</v>
      </c>
      <c r="B24" s="14" t="s">
        <v>1704</v>
      </c>
      <c r="C24" s="14">
        <v>3.5</v>
      </c>
      <c r="D24" s="15" t="s">
        <v>1995</v>
      </c>
      <c r="E24" s="14" t="s">
        <v>151</v>
      </c>
      <c r="F24" s="16" t="s">
        <v>1764</v>
      </c>
      <c r="G24" s="16" t="s">
        <v>20</v>
      </c>
      <c r="H24" s="14">
        <v>1967</v>
      </c>
      <c r="I24" s="16" t="s">
        <v>32</v>
      </c>
      <c r="J24" s="16" t="s">
        <v>40</v>
      </c>
      <c r="K24" s="16" t="s">
        <v>34</v>
      </c>
      <c r="L24" s="16" t="s">
        <v>41</v>
      </c>
      <c r="M24" s="16">
        <v>-1</v>
      </c>
      <c r="N24" s="14">
        <v>137</v>
      </c>
      <c r="O24" s="14">
        <v>171</v>
      </c>
      <c r="P24" s="14">
        <v>154</v>
      </c>
      <c r="Q24" s="14">
        <v>59</v>
      </c>
      <c r="R24" s="17" t="str">
        <f>IF(Cleaned_DS_jobs!$Q24&lt;10,"little_age_company",IF(AND(Cleaned_DS_jobs!$Q24&gt;=10,Cleaned_DS_jobs!$Q24&lt;=20),"average_age_company","Big_age_company"))</f>
        <v>Big_age_company</v>
      </c>
    </row>
    <row r="25" spans="1:18" ht="19.95" customHeight="1" x14ac:dyDescent="0.3">
      <c r="A25" s="18" t="s">
        <v>153</v>
      </c>
      <c r="B25" s="19" t="s">
        <v>1704</v>
      </c>
      <c r="C25" s="19">
        <v>3.5</v>
      </c>
      <c r="D25" s="20" t="s">
        <v>1996</v>
      </c>
      <c r="E25" s="19" t="s">
        <v>156</v>
      </c>
      <c r="F25" s="21" t="s">
        <v>1744</v>
      </c>
      <c r="G25" s="21" t="s">
        <v>31</v>
      </c>
      <c r="H25" s="19">
        <v>1860</v>
      </c>
      <c r="I25" s="21" t="s">
        <v>53</v>
      </c>
      <c r="J25" s="21" t="s">
        <v>22</v>
      </c>
      <c r="K25" s="21" t="s">
        <v>23</v>
      </c>
      <c r="L25" s="21" t="s">
        <v>132</v>
      </c>
      <c r="M25" s="21" t="s">
        <v>157</v>
      </c>
      <c r="N25" s="19">
        <v>137</v>
      </c>
      <c r="O25" s="19">
        <v>171</v>
      </c>
      <c r="P25" s="19">
        <v>154</v>
      </c>
      <c r="Q25" s="19">
        <v>166</v>
      </c>
      <c r="R25" s="22" t="str">
        <f>IF(Cleaned_DS_jobs!$Q25&lt;10,"little_age_company",IF(AND(Cleaned_DS_jobs!$Q25&gt;=10,Cleaned_DS_jobs!$Q25&lt;=20),"average_age_company","Big_age_company"))</f>
        <v>Big_age_company</v>
      </c>
    </row>
    <row r="26" spans="1:18" ht="19.95" customHeight="1" x14ac:dyDescent="0.3">
      <c r="A26" s="13" t="s">
        <v>26</v>
      </c>
      <c r="B26" s="14" t="s">
        <v>1704</v>
      </c>
      <c r="C26" s="14">
        <v>3.4</v>
      </c>
      <c r="D26" s="15" t="s">
        <v>1997</v>
      </c>
      <c r="E26" s="14" t="s">
        <v>83</v>
      </c>
      <c r="F26" s="16" t="s">
        <v>1752</v>
      </c>
      <c r="G26" s="16" t="s">
        <v>52</v>
      </c>
      <c r="H26" s="14">
        <v>1992</v>
      </c>
      <c r="I26" s="16" t="s">
        <v>53</v>
      </c>
      <c r="J26" s="16" t="s">
        <v>54</v>
      </c>
      <c r="K26" s="16" t="s">
        <v>34</v>
      </c>
      <c r="L26" s="16" t="s">
        <v>160</v>
      </c>
      <c r="M26" s="16">
        <v>-1</v>
      </c>
      <c r="N26" s="14">
        <v>137</v>
      </c>
      <c r="O26" s="14">
        <v>171</v>
      </c>
      <c r="P26" s="14">
        <v>154</v>
      </c>
      <c r="Q26" s="14">
        <v>34</v>
      </c>
      <c r="R26" s="17" t="str">
        <f>IF(Cleaned_DS_jobs!$Q26&lt;10,"little_age_company",IF(AND(Cleaned_DS_jobs!$Q26&gt;=10,Cleaned_DS_jobs!$Q26&lt;=20),"average_age_company","Big_age_company"))</f>
        <v>Big_age_company</v>
      </c>
    </row>
    <row r="27" spans="1:18" ht="19.95" customHeight="1" x14ac:dyDescent="0.3">
      <c r="A27" s="18" t="s">
        <v>26</v>
      </c>
      <c r="B27" s="19" t="s">
        <v>1704</v>
      </c>
      <c r="C27" s="19">
        <v>4.7</v>
      </c>
      <c r="D27" s="20" t="s">
        <v>1998</v>
      </c>
      <c r="E27" s="19" t="s">
        <v>163</v>
      </c>
      <c r="F27" s="21" t="s">
        <v>1765</v>
      </c>
      <c r="G27" s="21" t="s">
        <v>52</v>
      </c>
      <c r="H27" s="19">
        <v>2003</v>
      </c>
      <c r="I27" s="21" t="s">
        <v>53</v>
      </c>
      <c r="J27" s="21" t="s">
        <v>59</v>
      </c>
      <c r="K27" s="21" t="s">
        <v>60</v>
      </c>
      <c r="L27" s="21" t="s">
        <v>164</v>
      </c>
      <c r="M27" s="21">
        <v>-1</v>
      </c>
      <c r="N27" s="19">
        <v>137</v>
      </c>
      <c r="O27" s="19">
        <v>171</v>
      </c>
      <c r="P27" s="19">
        <v>154</v>
      </c>
      <c r="Q27" s="19">
        <v>23</v>
      </c>
      <c r="R27" s="22" t="str">
        <f>IF(Cleaned_DS_jobs!$Q27&lt;10,"little_age_company",IF(AND(Cleaned_DS_jobs!$Q27&gt;=10,Cleaned_DS_jobs!$Q27&lt;=20),"average_age_company","Big_age_company"))</f>
        <v>Big_age_company</v>
      </c>
    </row>
    <row r="28" spans="1:18" ht="19.95" customHeight="1" x14ac:dyDescent="0.3">
      <c r="A28" s="13" t="s">
        <v>165</v>
      </c>
      <c r="B28" s="14" t="s">
        <v>1704</v>
      </c>
      <c r="C28" s="14">
        <v>4.2</v>
      </c>
      <c r="D28" s="15" t="s">
        <v>1999</v>
      </c>
      <c r="E28" s="14" t="s">
        <v>168</v>
      </c>
      <c r="F28" s="16" t="s">
        <v>1766</v>
      </c>
      <c r="G28" s="16" t="s">
        <v>52</v>
      </c>
      <c r="H28" s="14">
        <v>1996</v>
      </c>
      <c r="I28" s="16" t="s">
        <v>53</v>
      </c>
      <c r="J28" s="16" t="s">
        <v>169</v>
      </c>
      <c r="K28" s="16" t="s">
        <v>170</v>
      </c>
      <c r="L28" s="16" t="s">
        <v>41</v>
      </c>
      <c r="M28" s="16">
        <v>-1</v>
      </c>
      <c r="N28" s="14">
        <v>137</v>
      </c>
      <c r="O28" s="14">
        <v>171</v>
      </c>
      <c r="P28" s="14">
        <v>154</v>
      </c>
      <c r="Q28" s="14">
        <v>30</v>
      </c>
      <c r="R28" s="17" t="str">
        <f>IF(Cleaned_DS_jobs!$Q28&lt;10,"little_age_company",IF(AND(Cleaned_DS_jobs!$Q28&gt;=10,Cleaned_DS_jobs!$Q28&lt;=20),"average_age_company","Big_age_company"))</f>
        <v>Big_age_company</v>
      </c>
    </row>
    <row r="29" spans="1:18" ht="19.95" customHeight="1" x14ac:dyDescent="0.3">
      <c r="A29" s="18" t="s">
        <v>171</v>
      </c>
      <c r="B29" s="19" t="s">
        <v>1704</v>
      </c>
      <c r="C29" s="19">
        <v>3.8</v>
      </c>
      <c r="D29" s="20" t="s">
        <v>2000</v>
      </c>
      <c r="E29" s="19" t="s">
        <v>174</v>
      </c>
      <c r="F29" s="21" t="s">
        <v>1767</v>
      </c>
      <c r="G29" s="21" t="s">
        <v>20</v>
      </c>
      <c r="H29" s="19">
        <v>1951</v>
      </c>
      <c r="I29" s="21" t="s">
        <v>21</v>
      </c>
      <c r="J29" s="21" t="s">
        <v>175</v>
      </c>
      <c r="K29" s="21" t="s">
        <v>175</v>
      </c>
      <c r="L29" s="21" t="s">
        <v>24</v>
      </c>
      <c r="M29" s="21">
        <v>-1</v>
      </c>
      <c r="N29" s="19">
        <v>137</v>
      </c>
      <c r="O29" s="19">
        <v>171</v>
      </c>
      <c r="P29" s="19">
        <v>154</v>
      </c>
      <c r="Q29" s="19">
        <v>75</v>
      </c>
      <c r="R29" s="22" t="str">
        <f>IF(Cleaned_DS_jobs!$Q29&lt;10,"little_age_company",IF(AND(Cleaned_DS_jobs!$Q29&gt;=10,Cleaned_DS_jobs!$Q29&lt;=20),"average_age_company","Big_age_company"))</f>
        <v>Big_age_company</v>
      </c>
    </row>
    <row r="30" spans="1:18" ht="19.95" customHeight="1" x14ac:dyDescent="0.3">
      <c r="A30" s="13" t="s">
        <v>26</v>
      </c>
      <c r="B30" s="14" t="s">
        <v>1704</v>
      </c>
      <c r="C30" s="14">
        <v>4.5</v>
      </c>
      <c r="D30" s="15" t="s">
        <v>2001</v>
      </c>
      <c r="E30" s="14" t="s">
        <v>178</v>
      </c>
      <c r="F30" s="16" t="s">
        <v>1768</v>
      </c>
      <c r="G30" s="16" t="s">
        <v>52</v>
      </c>
      <c r="H30" s="14">
        <v>2005</v>
      </c>
      <c r="I30" s="16" t="s">
        <v>53</v>
      </c>
      <c r="J30" s="16" t="s">
        <v>118</v>
      </c>
      <c r="K30" s="16" t="s">
        <v>98</v>
      </c>
      <c r="L30" s="16" t="s">
        <v>164</v>
      </c>
      <c r="M30" s="16">
        <v>-1</v>
      </c>
      <c r="N30" s="14">
        <v>137</v>
      </c>
      <c r="O30" s="14">
        <v>171</v>
      </c>
      <c r="P30" s="14">
        <v>154</v>
      </c>
      <c r="Q30" s="14">
        <v>21</v>
      </c>
      <c r="R30" s="17" t="str">
        <f>IF(Cleaned_DS_jobs!$Q30&lt;10,"little_age_company",IF(AND(Cleaned_DS_jobs!$Q30&gt;=10,Cleaned_DS_jobs!$Q30&lt;=20),"average_age_company","Big_age_company"))</f>
        <v>Big_age_company</v>
      </c>
    </row>
    <row r="31" spans="1:18" ht="19.95" customHeight="1" x14ac:dyDescent="0.3">
      <c r="A31" s="18" t="s">
        <v>26</v>
      </c>
      <c r="B31" s="19" t="s">
        <v>1704</v>
      </c>
      <c r="C31" s="19">
        <v>2.8</v>
      </c>
      <c r="D31" s="20" t="s">
        <v>2002</v>
      </c>
      <c r="E31" s="19" t="s">
        <v>143</v>
      </c>
      <c r="F31" s="21" t="s">
        <v>1763</v>
      </c>
      <c r="G31" s="21" t="s">
        <v>52</v>
      </c>
      <c r="H31" s="19">
        <v>2015</v>
      </c>
      <c r="I31" s="21" t="s">
        <v>53</v>
      </c>
      <c r="J31" s="21" t="s">
        <v>84</v>
      </c>
      <c r="K31" s="21" t="s">
        <v>60</v>
      </c>
      <c r="L31" s="21" t="s">
        <v>24</v>
      </c>
      <c r="M31" s="21">
        <v>-1</v>
      </c>
      <c r="N31" s="19">
        <v>137</v>
      </c>
      <c r="O31" s="19">
        <v>171</v>
      </c>
      <c r="P31" s="19">
        <v>154</v>
      </c>
      <c r="Q31" s="19">
        <v>11</v>
      </c>
      <c r="R31" s="22" t="str">
        <f>IF(Cleaned_DS_jobs!$Q31&lt;10,"little_age_company",IF(AND(Cleaned_DS_jobs!$Q31&gt;=10,Cleaned_DS_jobs!$Q31&lt;=20),"average_age_company","Big_age_company"))</f>
        <v>average_age_company</v>
      </c>
    </row>
    <row r="32" spans="1:18" ht="19.95" customHeight="1" x14ac:dyDescent="0.3">
      <c r="A32" s="13" t="s">
        <v>26</v>
      </c>
      <c r="B32" s="14" t="s">
        <v>1705</v>
      </c>
      <c r="C32" s="14">
        <v>3.8</v>
      </c>
      <c r="D32" s="15" t="s">
        <v>1975</v>
      </c>
      <c r="E32" s="14" t="s">
        <v>38</v>
      </c>
      <c r="F32" s="16" t="s">
        <v>1746</v>
      </c>
      <c r="G32" s="16" t="s">
        <v>20</v>
      </c>
      <c r="H32" s="14">
        <v>1981</v>
      </c>
      <c r="I32" s="16" t="s">
        <v>39</v>
      </c>
      <c r="J32" s="16" t="s">
        <v>40</v>
      </c>
      <c r="K32" s="16" t="s">
        <v>34</v>
      </c>
      <c r="L32" s="16" t="s">
        <v>41</v>
      </c>
      <c r="M32" s="16">
        <v>-1</v>
      </c>
      <c r="N32" s="14">
        <v>75</v>
      </c>
      <c r="O32" s="14">
        <v>131</v>
      </c>
      <c r="P32" s="14">
        <v>103</v>
      </c>
      <c r="Q32" s="14">
        <v>45</v>
      </c>
      <c r="R32" s="17" t="str">
        <f>IF(Cleaned_DS_jobs!$Q32&lt;10,"little_age_company",IF(AND(Cleaned_DS_jobs!$Q32&gt;=10,Cleaned_DS_jobs!$Q32&lt;=20),"average_age_company","Big_age_company"))</f>
        <v>Big_age_company</v>
      </c>
    </row>
    <row r="33" spans="1:18" ht="19.95" customHeight="1" x14ac:dyDescent="0.3">
      <c r="A33" s="18" t="s">
        <v>61</v>
      </c>
      <c r="B33" s="19" t="s">
        <v>1705</v>
      </c>
      <c r="C33" s="19">
        <v>3.9</v>
      </c>
      <c r="D33" s="20" t="s">
        <v>1979</v>
      </c>
      <c r="E33" s="19" t="s">
        <v>64</v>
      </c>
      <c r="F33" s="21" t="s">
        <v>1749</v>
      </c>
      <c r="G33" s="21" t="s">
        <v>66</v>
      </c>
      <c r="H33" s="19">
        <v>1996</v>
      </c>
      <c r="I33" s="21" t="s">
        <v>32</v>
      </c>
      <c r="J33" s="21" t="s">
        <v>67</v>
      </c>
      <c r="K33" s="21" t="s">
        <v>67</v>
      </c>
      <c r="L33" s="21" t="s">
        <v>68</v>
      </c>
      <c r="M33" s="21">
        <v>-1</v>
      </c>
      <c r="N33" s="19">
        <v>75</v>
      </c>
      <c r="O33" s="19">
        <v>131</v>
      </c>
      <c r="P33" s="19">
        <v>103</v>
      </c>
      <c r="Q33" s="19">
        <v>30</v>
      </c>
      <c r="R33" s="22" t="str">
        <f>IF(Cleaned_DS_jobs!$Q33&lt;10,"little_age_company",IF(AND(Cleaned_DS_jobs!$Q33&gt;=10,Cleaned_DS_jobs!$Q33&lt;=20),"average_age_company","Big_age_company"))</f>
        <v>Big_age_company</v>
      </c>
    </row>
    <row r="34" spans="1:18" ht="19.95" customHeight="1" x14ac:dyDescent="0.3">
      <c r="A34" s="13" t="s">
        <v>26</v>
      </c>
      <c r="B34" s="14" t="s">
        <v>1705</v>
      </c>
      <c r="C34" s="14">
        <v>5</v>
      </c>
      <c r="D34" s="15" t="s">
        <v>2003</v>
      </c>
      <c r="E34" s="14" t="s">
        <v>38</v>
      </c>
      <c r="F34" s="16" t="s">
        <v>1746</v>
      </c>
      <c r="G34" s="16" t="s">
        <v>117</v>
      </c>
      <c r="H34" s="14">
        <v>2019</v>
      </c>
      <c r="I34" s="16" t="s">
        <v>53</v>
      </c>
      <c r="J34" s="16" t="s">
        <v>92</v>
      </c>
      <c r="K34" s="16" t="s">
        <v>60</v>
      </c>
      <c r="L34" s="16" t="s">
        <v>24</v>
      </c>
      <c r="M34" s="16">
        <v>-1</v>
      </c>
      <c r="N34" s="14">
        <v>75</v>
      </c>
      <c r="O34" s="14">
        <v>131</v>
      </c>
      <c r="P34" s="14">
        <v>103</v>
      </c>
      <c r="Q34" s="14">
        <v>7</v>
      </c>
      <c r="R34" s="17" t="str">
        <f>IF(Cleaned_DS_jobs!$Q34&lt;10,"little_age_company",IF(AND(Cleaned_DS_jobs!$Q34&gt;=10,Cleaned_DS_jobs!$Q34&lt;=20),"average_age_company","Big_age_company"))</f>
        <v>little_age_company</v>
      </c>
    </row>
    <row r="35" spans="1:18" ht="19.95" customHeight="1" x14ac:dyDescent="0.3">
      <c r="A35" s="18" t="s">
        <v>185</v>
      </c>
      <c r="B35" s="19" t="s">
        <v>1705</v>
      </c>
      <c r="C35" s="19">
        <v>4.8</v>
      </c>
      <c r="D35" s="20" t="s">
        <v>2004</v>
      </c>
      <c r="E35" s="19" t="s">
        <v>188</v>
      </c>
      <c r="F35" s="21" t="s">
        <v>1769</v>
      </c>
      <c r="G35" s="21" t="s">
        <v>20</v>
      </c>
      <c r="H35" s="19">
        <v>1925</v>
      </c>
      <c r="I35" s="21" t="s">
        <v>53</v>
      </c>
      <c r="J35" s="21" t="s">
        <v>22</v>
      </c>
      <c r="K35" s="21" t="s">
        <v>23</v>
      </c>
      <c r="L35" s="21" t="s">
        <v>35</v>
      </c>
      <c r="M35" s="21">
        <v>-1</v>
      </c>
      <c r="N35" s="19">
        <v>75</v>
      </c>
      <c r="O35" s="19">
        <v>131</v>
      </c>
      <c r="P35" s="19">
        <v>103</v>
      </c>
      <c r="Q35" s="19">
        <v>101</v>
      </c>
      <c r="R35" s="22" t="str">
        <f>IF(Cleaned_DS_jobs!$Q35&lt;10,"little_age_company",IF(AND(Cleaned_DS_jobs!$Q35&gt;=10,Cleaned_DS_jobs!$Q35&lt;=20),"average_age_company","Big_age_company"))</f>
        <v>Big_age_company</v>
      </c>
    </row>
    <row r="36" spans="1:18" ht="19.95" customHeight="1" x14ac:dyDescent="0.3">
      <c r="A36" s="13" t="s">
        <v>189</v>
      </c>
      <c r="B36" s="14" t="s">
        <v>1705</v>
      </c>
      <c r="C36" s="14">
        <v>3.6</v>
      </c>
      <c r="D36" s="15" t="s">
        <v>2005</v>
      </c>
      <c r="E36" s="14" t="s">
        <v>192</v>
      </c>
      <c r="F36" s="16" t="s">
        <v>1770</v>
      </c>
      <c r="G36" s="16" t="s">
        <v>107</v>
      </c>
      <c r="H36" s="14">
        <v>2008</v>
      </c>
      <c r="I36" s="16" t="s">
        <v>53</v>
      </c>
      <c r="J36" s="16" t="s">
        <v>84</v>
      </c>
      <c r="K36" s="16" t="s">
        <v>60</v>
      </c>
      <c r="L36" s="16" t="s">
        <v>194</v>
      </c>
      <c r="M36" s="16" t="s">
        <v>195</v>
      </c>
      <c r="N36" s="14">
        <v>75</v>
      </c>
      <c r="O36" s="14">
        <v>131</v>
      </c>
      <c r="P36" s="14">
        <v>103</v>
      </c>
      <c r="Q36" s="14">
        <v>18</v>
      </c>
      <c r="R36" s="17" t="str">
        <f>IF(Cleaned_DS_jobs!$Q36&lt;10,"little_age_company",IF(AND(Cleaned_DS_jobs!$Q36&gt;=10,Cleaned_DS_jobs!$Q36&lt;=20),"average_age_company","Big_age_company"))</f>
        <v>average_age_company</v>
      </c>
    </row>
    <row r="37" spans="1:18" ht="19.95" customHeight="1" x14ac:dyDescent="0.3">
      <c r="A37" s="18" t="s">
        <v>196</v>
      </c>
      <c r="B37" s="19" t="s">
        <v>1705</v>
      </c>
      <c r="C37" s="19">
        <v>3.3</v>
      </c>
      <c r="D37" s="20" t="s">
        <v>2006</v>
      </c>
      <c r="E37" s="19" t="s">
        <v>199</v>
      </c>
      <c r="F37" s="21" t="s">
        <v>1771</v>
      </c>
      <c r="G37" s="21" t="s">
        <v>20</v>
      </c>
      <c r="H37" s="19">
        <v>1999</v>
      </c>
      <c r="I37" s="21" t="s">
        <v>53</v>
      </c>
      <c r="J37" s="21" t="s">
        <v>201</v>
      </c>
      <c r="K37" s="21" t="s">
        <v>100</v>
      </c>
      <c r="L37" s="21" t="s">
        <v>79</v>
      </c>
      <c r="M37" s="21">
        <v>-1</v>
      </c>
      <c r="N37" s="19">
        <v>75</v>
      </c>
      <c r="O37" s="19">
        <v>131</v>
      </c>
      <c r="P37" s="19">
        <v>103</v>
      </c>
      <c r="Q37" s="19">
        <v>27</v>
      </c>
      <c r="R37" s="22" t="str">
        <f>IF(Cleaned_DS_jobs!$Q37&lt;10,"little_age_company",IF(AND(Cleaned_DS_jobs!$Q37&gt;=10,Cleaned_DS_jobs!$Q37&lt;=20),"average_age_company","Big_age_company"))</f>
        <v>Big_age_company</v>
      </c>
    </row>
    <row r="38" spans="1:18" ht="19.95" customHeight="1" x14ac:dyDescent="0.3">
      <c r="A38" s="13" t="s">
        <v>202</v>
      </c>
      <c r="B38" s="14" t="s">
        <v>1705</v>
      </c>
      <c r="C38" s="14">
        <v>2.7</v>
      </c>
      <c r="D38" s="15" t="s">
        <v>2007</v>
      </c>
      <c r="E38" s="14" t="s">
        <v>205</v>
      </c>
      <c r="F38" s="16" t="s">
        <v>1772</v>
      </c>
      <c r="G38" s="16" t="s">
        <v>20</v>
      </c>
      <c r="H38" s="14">
        <v>1978</v>
      </c>
      <c r="I38" s="16" t="s">
        <v>53</v>
      </c>
      <c r="J38" s="16" t="s">
        <v>84</v>
      </c>
      <c r="K38" s="16" t="s">
        <v>60</v>
      </c>
      <c r="L38" s="16" t="s">
        <v>194</v>
      </c>
      <c r="M38" s="16">
        <v>-1</v>
      </c>
      <c r="N38" s="14">
        <v>75</v>
      </c>
      <c r="O38" s="14">
        <v>131</v>
      </c>
      <c r="P38" s="14">
        <v>103</v>
      </c>
      <c r="Q38" s="14">
        <v>48</v>
      </c>
      <c r="R38" s="17" t="str">
        <f>IF(Cleaned_DS_jobs!$Q38&lt;10,"little_age_company",IF(AND(Cleaned_DS_jobs!$Q38&gt;=10,Cleaned_DS_jobs!$Q38&lt;=20),"average_age_company","Big_age_company"))</f>
        <v>Big_age_company</v>
      </c>
    </row>
    <row r="39" spans="1:18" ht="19.95" customHeight="1" x14ac:dyDescent="0.3">
      <c r="A39" s="18" t="s">
        <v>26</v>
      </c>
      <c r="B39" s="19" t="s">
        <v>1705</v>
      </c>
      <c r="C39" s="19">
        <v>2.7</v>
      </c>
      <c r="D39" s="20" t="s">
        <v>2008</v>
      </c>
      <c r="E39" s="19" t="s">
        <v>208</v>
      </c>
      <c r="F39" s="21" t="s">
        <v>1744</v>
      </c>
      <c r="G39" s="21" t="s">
        <v>46</v>
      </c>
      <c r="H39" s="19">
        <v>2000</v>
      </c>
      <c r="I39" s="21" t="s">
        <v>53</v>
      </c>
      <c r="J39" s="21" t="s">
        <v>139</v>
      </c>
      <c r="K39" s="21" t="s">
        <v>140</v>
      </c>
      <c r="L39" s="21" t="s">
        <v>24</v>
      </c>
      <c r="M39" s="21" t="s">
        <v>209</v>
      </c>
      <c r="N39" s="19">
        <v>75</v>
      </c>
      <c r="O39" s="19">
        <v>131</v>
      </c>
      <c r="P39" s="19">
        <v>103</v>
      </c>
      <c r="Q39" s="19">
        <v>26</v>
      </c>
      <c r="R39" s="22" t="str">
        <f>IF(Cleaned_DS_jobs!$Q39&lt;10,"little_age_company",IF(AND(Cleaned_DS_jobs!$Q39&gt;=10,Cleaned_DS_jobs!$Q39&lt;=20),"average_age_company","Big_age_company"))</f>
        <v>Big_age_company</v>
      </c>
    </row>
    <row r="40" spans="1:18" ht="19.95" customHeight="1" x14ac:dyDescent="0.3">
      <c r="A40" s="13" t="s">
        <v>26</v>
      </c>
      <c r="B40" s="14" t="s">
        <v>1705</v>
      </c>
      <c r="C40" s="14">
        <v>2.2000000000000002</v>
      </c>
      <c r="D40" s="15" t="s">
        <v>2009</v>
      </c>
      <c r="E40" s="14" t="s">
        <v>29</v>
      </c>
      <c r="F40" s="16" t="s">
        <v>1773</v>
      </c>
      <c r="G40" s="16" t="s">
        <v>117</v>
      </c>
      <c r="H40" s="14">
        <v>2000</v>
      </c>
      <c r="I40" s="16" t="s">
        <v>53</v>
      </c>
      <c r="J40" s="16" t="s">
        <v>84</v>
      </c>
      <c r="K40" s="16" t="s">
        <v>60</v>
      </c>
      <c r="L40" s="16" t="s">
        <v>212</v>
      </c>
      <c r="M40" s="16">
        <v>-1</v>
      </c>
      <c r="N40" s="14">
        <v>75</v>
      </c>
      <c r="O40" s="14">
        <v>131</v>
      </c>
      <c r="P40" s="14">
        <v>103</v>
      </c>
      <c r="Q40" s="14">
        <v>26</v>
      </c>
      <c r="R40" s="17" t="str">
        <f>IF(Cleaned_DS_jobs!$Q40&lt;10,"little_age_company",IF(AND(Cleaned_DS_jobs!$Q40&gt;=10,Cleaned_DS_jobs!$Q40&lt;=20),"average_age_company","Big_age_company"))</f>
        <v>Big_age_company</v>
      </c>
    </row>
    <row r="41" spans="1:18" ht="19.95" customHeight="1" x14ac:dyDescent="0.3">
      <c r="A41" s="18" t="s">
        <v>213</v>
      </c>
      <c r="B41" s="19" t="s">
        <v>1705</v>
      </c>
      <c r="C41" s="19">
        <v>3.4</v>
      </c>
      <c r="D41" s="20" t="s">
        <v>2010</v>
      </c>
      <c r="E41" s="19" t="s">
        <v>216</v>
      </c>
      <c r="F41" s="21" t="s">
        <v>1774</v>
      </c>
      <c r="G41" s="21" t="s">
        <v>46</v>
      </c>
      <c r="H41" s="19">
        <v>1966</v>
      </c>
      <c r="I41" s="21" t="s">
        <v>53</v>
      </c>
      <c r="J41" s="21" t="s">
        <v>123</v>
      </c>
      <c r="K41" s="21" t="s">
        <v>60</v>
      </c>
      <c r="L41" s="21" t="s">
        <v>41</v>
      </c>
      <c r="M41" s="21" t="s">
        <v>217</v>
      </c>
      <c r="N41" s="19">
        <v>75</v>
      </c>
      <c r="O41" s="19">
        <v>131</v>
      </c>
      <c r="P41" s="19">
        <v>103</v>
      </c>
      <c r="Q41" s="19">
        <v>60</v>
      </c>
      <c r="R41" s="22" t="str">
        <f>IF(Cleaned_DS_jobs!$Q41&lt;10,"little_age_company",IF(AND(Cleaned_DS_jobs!$Q41&gt;=10,Cleaned_DS_jobs!$Q41&lt;=20),"average_age_company","Big_age_company"))</f>
        <v>Big_age_company</v>
      </c>
    </row>
    <row r="42" spans="1:18" ht="19.95" customHeight="1" x14ac:dyDescent="0.3">
      <c r="A42" s="13" t="s">
        <v>218</v>
      </c>
      <c r="B42" s="14" t="s">
        <v>1705</v>
      </c>
      <c r="C42" s="14">
        <v>3.1</v>
      </c>
      <c r="D42" s="15" t="s">
        <v>2011</v>
      </c>
      <c r="E42" s="14" t="s">
        <v>38</v>
      </c>
      <c r="F42" s="16" t="s">
        <v>1746</v>
      </c>
      <c r="G42" s="16" t="s">
        <v>46</v>
      </c>
      <c r="H42" s="14">
        <v>1973</v>
      </c>
      <c r="I42" s="16" t="s">
        <v>53</v>
      </c>
      <c r="J42" s="16" t="s">
        <v>169</v>
      </c>
      <c r="K42" s="16" t="s">
        <v>170</v>
      </c>
      <c r="L42" s="16" t="s">
        <v>41</v>
      </c>
      <c r="M42" s="16">
        <v>-1</v>
      </c>
      <c r="N42" s="14">
        <v>75</v>
      </c>
      <c r="O42" s="14">
        <v>131</v>
      </c>
      <c r="P42" s="14">
        <v>103</v>
      </c>
      <c r="Q42" s="14">
        <v>53</v>
      </c>
      <c r="R42" s="17" t="str">
        <f>IF(Cleaned_DS_jobs!$Q42&lt;10,"little_age_company",IF(AND(Cleaned_DS_jobs!$Q42&gt;=10,Cleaned_DS_jobs!$Q42&lt;=20),"average_age_company","Big_age_company"))</f>
        <v>Big_age_company</v>
      </c>
    </row>
    <row r="43" spans="1:18" ht="19.95" customHeight="1" x14ac:dyDescent="0.3">
      <c r="A43" s="18" t="s">
        <v>221</v>
      </c>
      <c r="B43" s="19" t="s">
        <v>1705</v>
      </c>
      <c r="C43" s="19">
        <v>3.4</v>
      </c>
      <c r="D43" s="20" t="s">
        <v>2012</v>
      </c>
      <c r="E43" s="19" t="s">
        <v>224</v>
      </c>
      <c r="F43" s="21" t="s">
        <v>1746</v>
      </c>
      <c r="G43" s="21" t="s">
        <v>66</v>
      </c>
      <c r="H43" s="19">
        <v>1912</v>
      </c>
      <c r="I43" s="21" t="s">
        <v>53</v>
      </c>
      <c r="J43" s="21" t="s">
        <v>22</v>
      </c>
      <c r="K43" s="21" t="s">
        <v>23</v>
      </c>
      <c r="L43" s="21" t="s">
        <v>68</v>
      </c>
      <c r="M43" s="21" t="s">
        <v>225</v>
      </c>
      <c r="N43" s="19">
        <v>75</v>
      </c>
      <c r="O43" s="19">
        <v>131</v>
      </c>
      <c r="P43" s="19">
        <v>103</v>
      </c>
      <c r="Q43" s="19">
        <v>114</v>
      </c>
      <c r="R43" s="22" t="str">
        <f>IF(Cleaned_DS_jobs!$Q43&lt;10,"little_age_company",IF(AND(Cleaned_DS_jobs!$Q43&gt;=10,Cleaned_DS_jobs!$Q43&lt;=20),"average_age_company","Big_age_company"))</f>
        <v>Big_age_company</v>
      </c>
    </row>
    <row r="44" spans="1:18" ht="19.95" customHeight="1" x14ac:dyDescent="0.3">
      <c r="A44" s="13" t="s">
        <v>226</v>
      </c>
      <c r="B44" s="14" t="s">
        <v>1705</v>
      </c>
      <c r="C44" s="14">
        <v>2.6</v>
      </c>
      <c r="D44" s="15" t="s">
        <v>2013</v>
      </c>
      <c r="E44" s="14" t="s">
        <v>229</v>
      </c>
      <c r="F44" s="16" t="s">
        <v>1775</v>
      </c>
      <c r="G44" s="16" t="s">
        <v>20</v>
      </c>
      <c r="H44" s="14">
        <v>1958</v>
      </c>
      <c r="I44" s="16" t="s">
        <v>53</v>
      </c>
      <c r="J44" s="16" t="s">
        <v>1972</v>
      </c>
      <c r="K44" s="16" t="s">
        <v>1972</v>
      </c>
      <c r="L44" s="16" t="s">
        <v>41</v>
      </c>
      <c r="M44" s="16">
        <v>-1</v>
      </c>
      <c r="N44" s="14">
        <v>75</v>
      </c>
      <c r="O44" s="14">
        <v>131</v>
      </c>
      <c r="P44" s="14">
        <v>103</v>
      </c>
      <c r="Q44" s="14">
        <v>68</v>
      </c>
      <c r="R44" s="17" t="str">
        <f>IF(Cleaned_DS_jobs!$Q44&lt;10,"little_age_company",IF(AND(Cleaned_DS_jobs!$Q44&gt;=10,Cleaned_DS_jobs!$Q44&lt;=20),"average_age_company","Big_age_company"))</f>
        <v>Big_age_company</v>
      </c>
    </row>
    <row r="45" spans="1:18" ht="19.95" customHeight="1" x14ac:dyDescent="0.3">
      <c r="A45" s="18" t="s">
        <v>230</v>
      </c>
      <c r="B45" s="19" t="s">
        <v>1705</v>
      </c>
      <c r="C45" s="19">
        <v>5</v>
      </c>
      <c r="D45" s="20" t="s">
        <v>2014</v>
      </c>
      <c r="E45" s="19" t="s">
        <v>233</v>
      </c>
      <c r="F45" s="21" t="s">
        <v>1776</v>
      </c>
      <c r="G45" s="21" t="s">
        <v>52</v>
      </c>
      <c r="H45" s="19">
        <v>2019</v>
      </c>
      <c r="I45" s="21" t="s">
        <v>53</v>
      </c>
      <c r="J45" s="21" t="s">
        <v>67</v>
      </c>
      <c r="K45" s="21" t="s">
        <v>67</v>
      </c>
      <c r="L45" s="21" t="s">
        <v>24</v>
      </c>
      <c r="M45" s="21">
        <v>-1</v>
      </c>
      <c r="N45" s="19">
        <v>75</v>
      </c>
      <c r="O45" s="19">
        <v>131</v>
      </c>
      <c r="P45" s="19">
        <v>103</v>
      </c>
      <c r="Q45" s="19">
        <v>7</v>
      </c>
      <c r="R45" s="22" t="str">
        <f>IF(Cleaned_DS_jobs!$Q45&lt;10,"little_age_company",IF(AND(Cleaned_DS_jobs!$Q45&gt;=10,Cleaned_DS_jobs!$Q45&lt;=20),"average_age_company","Big_age_company"))</f>
        <v>little_age_company</v>
      </c>
    </row>
    <row r="46" spans="1:18" ht="19.95" customHeight="1" x14ac:dyDescent="0.3">
      <c r="A46" s="13" t="s">
        <v>26</v>
      </c>
      <c r="B46" s="14" t="s">
        <v>1705</v>
      </c>
      <c r="C46" s="14">
        <v>4.2</v>
      </c>
      <c r="D46" s="15" t="s">
        <v>2015</v>
      </c>
      <c r="E46" s="14" t="s">
        <v>236</v>
      </c>
      <c r="F46" s="16" t="s">
        <v>1777</v>
      </c>
      <c r="G46" s="16" t="s">
        <v>52</v>
      </c>
      <c r="H46" s="14">
        <v>2013</v>
      </c>
      <c r="I46" s="16" t="s">
        <v>53</v>
      </c>
      <c r="J46" s="16" t="s">
        <v>84</v>
      </c>
      <c r="K46" s="16" t="s">
        <v>60</v>
      </c>
      <c r="L46" s="16" t="s">
        <v>160</v>
      </c>
      <c r="M46" s="16">
        <v>-1</v>
      </c>
      <c r="N46" s="14">
        <v>75</v>
      </c>
      <c r="O46" s="14">
        <v>131</v>
      </c>
      <c r="P46" s="14">
        <v>103</v>
      </c>
      <c r="Q46" s="14">
        <v>13</v>
      </c>
      <c r="R46" s="17" t="str">
        <f>IF(Cleaned_DS_jobs!$Q46&lt;10,"little_age_company",IF(AND(Cleaned_DS_jobs!$Q46&gt;=10,Cleaned_DS_jobs!$Q46&lt;=20),"average_age_company","Big_age_company"))</f>
        <v>average_age_company</v>
      </c>
    </row>
    <row r="47" spans="1:18" ht="19.95" customHeight="1" x14ac:dyDescent="0.3">
      <c r="A47" s="18" t="s">
        <v>237</v>
      </c>
      <c r="B47" s="19" t="s">
        <v>1705</v>
      </c>
      <c r="C47" s="19">
        <v>4.0999999999999996</v>
      </c>
      <c r="D47" s="20" t="s">
        <v>2016</v>
      </c>
      <c r="E47" s="19" t="s">
        <v>64</v>
      </c>
      <c r="F47" s="21" t="s">
        <v>1744</v>
      </c>
      <c r="G47" s="21" t="s">
        <v>66</v>
      </c>
      <c r="H47" s="19">
        <v>1849</v>
      </c>
      <c r="I47" s="21" t="s">
        <v>32</v>
      </c>
      <c r="J47" s="21" t="s">
        <v>67</v>
      </c>
      <c r="K47" s="21" t="s">
        <v>67</v>
      </c>
      <c r="L47" s="21" t="s">
        <v>68</v>
      </c>
      <c r="M47" s="21">
        <v>-1</v>
      </c>
      <c r="N47" s="19">
        <v>75</v>
      </c>
      <c r="O47" s="19">
        <v>131</v>
      </c>
      <c r="P47" s="19">
        <v>103</v>
      </c>
      <c r="Q47" s="19">
        <v>177</v>
      </c>
      <c r="R47" s="22" t="str">
        <f>IF(Cleaned_DS_jobs!$Q47&lt;10,"little_age_company",IF(AND(Cleaned_DS_jobs!$Q47&gt;=10,Cleaned_DS_jobs!$Q47&lt;=20),"average_age_company","Big_age_company"))</f>
        <v>Big_age_company</v>
      </c>
    </row>
    <row r="48" spans="1:18" ht="19.95" customHeight="1" x14ac:dyDescent="0.3">
      <c r="A48" s="13" t="s">
        <v>240</v>
      </c>
      <c r="B48" s="14" t="s">
        <v>1705</v>
      </c>
      <c r="C48" s="14">
        <v>4.8</v>
      </c>
      <c r="D48" s="15" t="s">
        <v>2017</v>
      </c>
      <c r="E48" s="14" t="s">
        <v>38</v>
      </c>
      <c r="F48" s="16" t="s">
        <v>1746</v>
      </c>
      <c r="G48" s="16" t="s">
        <v>107</v>
      </c>
      <c r="H48" s="14">
        <v>2012</v>
      </c>
      <c r="I48" s="16" t="s">
        <v>53</v>
      </c>
      <c r="J48" s="16" t="s">
        <v>59</v>
      </c>
      <c r="K48" s="16" t="s">
        <v>60</v>
      </c>
      <c r="L48" s="16" t="s">
        <v>24</v>
      </c>
      <c r="M48" s="16">
        <v>-1</v>
      </c>
      <c r="N48" s="14">
        <v>75</v>
      </c>
      <c r="O48" s="14">
        <v>131</v>
      </c>
      <c r="P48" s="14">
        <v>103</v>
      </c>
      <c r="Q48" s="14">
        <v>14</v>
      </c>
      <c r="R48" s="17" t="str">
        <f>IF(Cleaned_DS_jobs!$Q48&lt;10,"little_age_company",IF(AND(Cleaned_DS_jobs!$Q48&gt;=10,Cleaned_DS_jobs!$Q48&lt;=20),"average_age_company","Big_age_company"))</f>
        <v>average_age_company</v>
      </c>
    </row>
    <row r="49" spans="1:18" ht="19.95" customHeight="1" x14ac:dyDescent="0.3">
      <c r="A49" s="18" t="s">
        <v>26</v>
      </c>
      <c r="B49" s="19" t="s">
        <v>1705</v>
      </c>
      <c r="C49" s="19">
        <v>3.3</v>
      </c>
      <c r="D49" s="20" t="s">
        <v>2018</v>
      </c>
      <c r="E49" s="19" t="s">
        <v>200</v>
      </c>
      <c r="F49" s="21" t="s">
        <v>1771</v>
      </c>
      <c r="G49" s="21" t="s">
        <v>46</v>
      </c>
      <c r="H49" s="19">
        <v>2000</v>
      </c>
      <c r="I49" s="21" t="s">
        <v>53</v>
      </c>
      <c r="J49" s="21" t="s">
        <v>169</v>
      </c>
      <c r="K49" s="21" t="s">
        <v>170</v>
      </c>
      <c r="L49" s="21" t="s">
        <v>24</v>
      </c>
      <c r="M49" s="21">
        <v>-1</v>
      </c>
      <c r="N49" s="19">
        <v>75</v>
      </c>
      <c r="O49" s="19">
        <v>131</v>
      </c>
      <c r="P49" s="19">
        <v>103</v>
      </c>
      <c r="Q49" s="19">
        <v>26</v>
      </c>
      <c r="R49" s="22" t="str">
        <f>IF(Cleaned_DS_jobs!$Q49&lt;10,"little_age_company",IF(AND(Cleaned_DS_jobs!$Q49&gt;=10,Cleaned_DS_jobs!$Q49&lt;=20),"average_age_company","Big_age_company"))</f>
        <v>Big_age_company</v>
      </c>
    </row>
    <row r="50" spans="1:18" ht="19.95" customHeight="1" x14ac:dyDescent="0.3">
      <c r="A50" s="13" t="s">
        <v>26</v>
      </c>
      <c r="B50" s="14" t="s">
        <v>1705</v>
      </c>
      <c r="C50" s="14">
        <v>3.7</v>
      </c>
      <c r="D50" s="15" t="s">
        <v>2019</v>
      </c>
      <c r="E50" s="14" t="s">
        <v>143</v>
      </c>
      <c r="F50" s="16" t="s">
        <v>1778</v>
      </c>
      <c r="G50" s="16" t="s">
        <v>20</v>
      </c>
      <c r="H50" s="14">
        <v>2016</v>
      </c>
      <c r="I50" s="16" t="s">
        <v>98</v>
      </c>
      <c r="J50" s="16" t="s">
        <v>118</v>
      </c>
      <c r="K50" s="16" t="s">
        <v>98</v>
      </c>
      <c r="L50" s="16" t="s">
        <v>24</v>
      </c>
      <c r="M50" s="16">
        <v>-1</v>
      </c>
      <c r="N50" s="14">
        <v>75</v>
      </c>
      <c r="O50" s="14">
        <v>131</v>
      </c>
      <c r="P50" s="14">
        <v>103</v>
      </c>
      <c r="Q50" s="14">
        <v>10</v>
      </c>
      <c r="R50" s="17" t="str">
        <f>IF(Cleaned_DS_jobs!$Q50&lt;10,"little_age_company",IF(AND(Cleaned_DS_jobs!$Q50&gt;=10,Cleaned_DS_jobs!$Q50&lt;=20),"average_age_company","Big_age_company"))</f>
        <v>average_age_company</v>
      </c>
    </row>
    <row r="51" spans="1:18" ht="19.95" customHeight="1" x14ac:dyDescent="0.3">
      <c r="A51" s="18" t="s">
        <v>26</v>
      </c>
      <c r="B51" s="19" t="s">
        <v>1705</v>
      </c>
      <c r="C51" s="19">
        <v>4.3</v>
      </c>
      <c r="D51" s="20" t="s">
        <v>2020</v>
      </c>
      <c r="E51" s="19" t="s">
        <v>64</v>
      </c>
      <c r="F51" s="21" t="s">
        <v>1779</v>
      </c>
      <c r="G51" s="21" t="s">
        <v>107</v>
      </c>
      <c r="H51" s="19">
        <v>1999</v>
      </c>
      <c r="I51" s="21" t="s">
        <v>53</v>
      </c>
      <c r="J51" s="21" t="s">
        <v>84</v>
      </c>
      <c r="K51" s="21" t="s">
        <v>60</v>
      </c>
      <c r="L51" s="21" t="s">
        <v>24</v>
      </c>
      <c r="M51" s="21">
        <v>-1</v>
      </c>
      <c r="N51" s="19">
        <v>75</v>
      </c>
      <c r="O51" s="19">
        <v>131</v>
      </c>
      <c r="P51" s="19">
        <v>103</v>
      </c>
      <c r="Q51" s="19">
        <v>27</v>
      </c>
      <c r="R51" s="22" t="str">
        <f>IF(Cleaned_DS_jobs!$Q51&lt;10,"little_age_company",IF(AND(Cleaned_DS_jobs!$Q51&gt;=10,Cleaned_DS_jobs!$Q51&lt;=20),"average_age_company","Big_age_company"))</f>
        <v>Big_age_company</v>
      </c>
    </row>
    <row r="52" spans="1:18" ht="19.95" customHeight="1" x14ac:dyDescent="0.3">
      <c r="A52" s="13" t="s">
        <v>218</v>
      </c>
      <c r="B52" s="14" t="s">
        <v>1705</v>
      </c>
      <c r="C52" s="14">
        <v>4.8</v>
      </c>
      <c r="D52" s="15" t="s">
        <v>2021</v>
      </c>
      <c r="E52" s="14" t="s">
        <v>143</v>
      </c>
      <c r="F52" s="16" t="s">
        <v>1763</v>
      </c>
      <c r="G52" s="16" t="s">
        <v>117</v>
      </c>
      <c r="H52" s="14">
        <v>2014</v>
      </c>
      <c r="I52" s="16" t="s">
        <v>53</v>
      </c>
      <c r="J52" s="16" t="s">
        <v>54</v>
      </c>
      <c r="K52" s="16" t="s">
        <v>34</v>
      </c>
      <c r="L52" s="16" t="s">
        <v>160</v>
      </c>
      <c r="M52" s="16">
        <v>-1</v>
      </c>
      <c r="N52" s="14">
        <v>75</v>
      </c>
      <c r="O52" s="14">
        <v>131</v>
      </c>
      <c r="P52" s="14">
        <v>103</v>
      </c>
      <c r="Q52" s="14">
        <v>12</v>
      </c>
      <c r="R52" s="17" t="str">
        <f>IF(Cleaned_DS_jobs!$Q52&lt;10,"little_age_company",IF(AND(Cleaned_DS_jobs!$Q52&gt;=10,Cleaned_DS_jobs!$Q52&lt;=20),"average_age_company","Big_age_company"))</f>
        <v>average_age_company</v>
      </c>
    </row>
    <row r="53" spans="1:18" ht="19.95" customHeight="1" x14ac:dyDescent="0.3">
      <c r="A53" s="18" t="s">
        <v>26</v>
      </c>
      <c r="B53" s="19" t="s">
        <v>1705</v>
      </c>
      <c r="C53" s="19">
        <v>3.7</v>
      </c>
      <c r="D53" s="20" t="s">
        <v>2022</v>
      </c>
      <c r="E53" s="19" t="s">
        <v>64</v>
      </c>
      <c r="F53" s="21" t="s">
        <v>1780</v>
      </c>
      <c r="G53" s="21" t="s">
        <v>66</v>
      </c>
      <c r="H53" s="19">
        <v>1781</v>
      </c>
      <c r="I53" s="21" t="s">
        <v>32</v>
      </c>
      <c r="J53" s="21" t="s">
        <v>67</v>
      </c>
      <c r="K53" s="21" t="s">
        <v>67</v>
      </c>
      <c r="L53" s="21" t="s">
        <v>68</v>
      </c>
      <c r="M53" s="21" t="s">
        <v>255</v>
      </c>
      <c r="N53" s="19">
        <v>75</v>
      </c>
      <c r="O53" s="19">
        <v>131</v>
      </c>
      <c r="P53" s="19">
        <v>103</v>
      </c>
      <c r="Q53" s="19">
        <v>245</v>
      </c>
      <c r="R53" s="22" t="str">
        <f>IF(Cleaned_DS_jobs!$Q53&lt;10,"little_age_company",IF(AND(Cleaned_DS_jobs!$Q53&gt;=10,Cleaned_DS_jobs!$Q53&lt;=20),"average_age_company","Big_age_company"))</f>
        <v>Big_age_company</v>
      </c>
    </row>
    <row r="54" spans="1:18" ht="19.95" customHeight="1" x14ac:dyDescent="0.3">
      <c r="A54" s="13" t="s">
        <v>26</v>
      </c>
      <c r="B54" s="14" t="s">
        <v>1705</v>
      </c>
      <c r="C54" s="14">
        <v>4</v>
      </c>
      <c r="D54" s="15" t="s">
        <v>2023</v>
      </c>
      <c r="E54" s="14" t="s">
        <v>143</v>
      </c>
      <c r="F54" s="16" t="s">
        <v>1781</v>
      </c>
      <c r="G54" s="16" t="s">
        <v>46</v>
      </c>
      <c r="H54" s="14">
        <v>2012</v>
      </c>
      <c r="I54" s="16" t="s">
        <v>53</v>
      </c>
      <c r="J54" s="16" t="s">
        <v>84</v>
      </c>
      <c r="K54" s="16" t="s">
        <v>60</v>
      </c>
      <c r="L54" s="16" t="s">
        <v>24</v>
      </c>
      <c r="M54" s="16" t="s">
        <v>259</v>
      </c>
      <c r="N54" s="14">
        <v>75</v>
      </c>
      <c r="O54" s="14">
        <v>131</v>
      </c>
      <c r="P54" s="14">
        <v>103</v>
      </c>
      <c r="Q54" s="14">
        <v>14</v>
      </c>
      <c r="R54" s="17" t="str">
        <f>IF(Cleaned_DS_jobs!$Q54&lt;10,"little_age_company",IF(AND(Cleaned_DS_jobs!$Q54&gt;=10,Cleaned_DS_jobs!$Q54&lt;=20),"average_age_company","Big_age_company"))</f>
        <v>average_age_company</v>
      </c>
    </row>
    <row r="55" spans="1:18" ht="19.95" customHeight="1" x14ac:dyDescent="0.3">
      <c r="A55" s="18" t="s">
        <v>260</v>
      </c>
      <c r="B55" s="19" t="s">
        <v>1705</v>
      </c>
      <c r="C55" s="19">
        <v>4.8</v>
      </c>
      <c r="D55" s="20" t="s">
        <v>2024</v>
      </c>
      <c r="E55" s="19" t="s">
        <v>122</v>
      </c>
      <c r="F55" s="21" t="s">
        <v>1782</v>
      </c>
      <c r="G55" s="21" t="s">
        <v>52</v>
      </c>
      <c r="H55" s="19">
        <v>2003</v>
      </c>
      <c r="I55" s="21" t="s">
        <v>53</v>
      </c>
      <c r="J55" s="21" t="s">
        <v>92</v>
      </c>
      <c r="K55" s="21" t="s">
        <v>60</v>
      </c>
      <c r="L55" s="21" t="s">
        <v>160</v>
      </c>
      <c r="M55" s="21">
        <v>-1</v>
      </c>
      <c r="N55" s="19">
        <v>75</v>
      </c>
      <c r="O55" s="19">
        <v>131</v>
      </c>
      <c r="P55" s="19">
        <v>103</v>
      </c>
      <c r="Q55" s="19">
        <v>23</v>
      </c>
      <c r="R55" s="22" t="str">
        <f>IF(Cleaned_DS_jobs!$Q55&lt;10,"little_age_company",IF(AND(Cleaned_DS_jobs!$Q55&gt;=10,Cleaned_DS_jobs!$Q55&lt;=20),"average_age_company","Big_age_company"))</f>
        <v>Big_age_company</v>
      </c>
    </row>
    <row r="56" spans="1:18" ht="19.95" customHeight="1" x14ac:dyDescent="0.3">
      <c r="A56" s="13" t="s">
        <v>264</v>
      </c>
      <c r="B56" s="14" t="s">
        <v>1705</v>
      </c>
      <c r="C56" s="14">
        <v>3.5</v>
      </c>
      <c r="D56" s="15" t="s">
        <v>2025</v>
      </c>
      <c r="E56" s="14" t="s">
        <v>267</v>
      </c>
      <c r="F56" s="16" t="s">
        <v>1783</v>
      </c>
      <c r="G56" s="16" t="s">
        <v>52</v>
      </c>
      <c r="H56" s="14">
        <v>1999</v>
      </c>
      <c r="I56" s="16" t="s">
        <v>53</v>
      </c>
      <c r="J56" s="16" t="s">
        <v>84</v>
      </c>
      <c r="K56" s="16" t="s">
        <v>60</v>
      </c>
      <c r="L56" s="16" t="s">
        <v>24</v>
      </c>
      <c r="M56" s="16">
        <v>-1</v>
      </c>
      <c r="N56" s="14">
        <v>75</v>
      </c>
      <c r="O56" s="14">
        <v>131</v>
      </c>
      <c r="P56" s="14">
        <v>103</v>
      </c>
      <c r="Q56" s="14">
        <v>27</v>
      </c>
      <c r="R56" s="17" t="str">
        <f>IF(Cleaned_DS_jobs!$Q56&lt;10,"little_age_company",IF(AND(Cleaned_DS_jobs!$Q56&gt;=10,Cleaned_DS_jobs!$Q56&lt;=20),"average_age_company","Big_age_company"))</f>
        <v>Big_age_company</v>
      </c>
    </row>
    <row r="57" spans="1:18" ht="19.95" customHeight="1" x14ac:dyDescent="0.3">
      <c r="A57" s="18" t="s">
        <v>268</v>
      </c>
      <c r="B57" s="19" t="s">
        <v>1705</v>
      </c>
      <c r="C57" s="19">
        <v>3.7</v>
      </c>
      <c r="D57" s="20" t="s">
        <v>2026</v>
      </c>
      <c r="E57" s="19" t="s">
        <v>271</v>
      </c>
      <c r="F57" s="21" t="s">
        <v>1784</v>
      </c>
      <c r="G57" s="21" t="s">
        <v>31</v>
      </c>
      <c r="H57" s="19">
        <v>1926</v>
      </c>
      <c r="I57" s="21" t="s">
        <v>21</v>
      </c>
      <c r="J57" s="21" t="s">
        <v>139</v>
      </c>
      <c r="K57" s="21" t="s">
        <v>140</v>
      </c>
      <c r="L57" s="21" t="s">
        <v>41</v>
      </c>
      <c r="M57" s="21">
        <v>-1</v>
      </c>
      <c r="N57" s="19">
        <v>75</v>
      </c>
      <c r="O57" s="19">
        <v>131</v>
      </c>
      <c r="P57" s="19">
        <v>103</v>
      </c>
      <c r="Q57" s="19">
        <v>100</v>
      </c>
      <c r="R57" s="22" t="str">
        <f>IF(Cleaned_DS_jobs!$Q57&lt;10,"little_age_company",IF(AND(Cleaned_DS_jobs!$Q57&gt;=10,Cleaned_DS_jobs!$Q57&lt;=20),"average_age_company","Big_age_company"))</f>
        <v>Big_age_company</v>
      </c>
    </row>
    <row r="58" spans="1:18" ht="19.95" customHeight="1" x14ac:dyDescent="0.3">
      <c r="A58" s="13" t="s">
        <v>240</v>
      </c>
      <c r="B58" s="14" t="s">
        <v>1705</v>
      </c>
      <c r="C58" s="14">
        <v>3.5</v>
      </c>
      <c r="D58" s="15" t="s">
        <v>2027</v>
      </c>
      <c r="E58" s="14" t="s">
        <v>91</v>
      </c>
      <c r="F58" s="16" t="s">
        <v>1754</v>
      </c>
      <c r="G58" s="16" t="s">
        <v>107</v>
      </c>
      <c r="H58" s="14">
        <v>2012</v>
      </c>
      <c r="I58" s="16" t="s">
        <v>53</v>
      </c>
      <c r="J58" s="16" t="s">
        <v>67</v>
      </c>
      <c r="K58" s="16" t="s">
        <v>67</v>
      </c>
      <c r="L58" s="16" t="s">
        <v>212</v>
      </c>
      <c r="M58" s="16">
        <v>-1</v>
      </c>
      <c r="N58" s="14">
        <v>75</v>
      </c>
      <c r="O58" s="14">
        <v>131</v>
      </c>
      <c r="P58" s="14">
        <v>103</v>
      </c>
      <c r="Q58" s="14">
        <v>14</v>
      </c>
      <c r="R58" s="17" t="str">
        <f>IF(Cleaned_DS_jobs!$Q58&lt;10,"little_age_company",IF(AND(Cleaned_DS_jobs!$Q58&gt;=10,Cleaned_DS_jobs!$Q58&lt;=20),"average_age_company","Big_age_company"))</f>
        <v>average_age_company</v>
      </c>
    </row>
    <row r="59" spans="1:18" ht="19.95" customHeight="1" x14ac:dyDescent="0.3">
      <c r="A59" s="18" t="s">
        <v>274</v>
      </c>
      <c r="B59" s="19" t="s">
        <v>1705</v>
      </c>
      <c r="C59" s="19">
        <v>4.0999999999999996</v>
      </c>
      <c r="D59" s="20" t="s">
        <v>2028</v>
      </c>
      <c r="E59" s="19" t="s">
        <v>143</v>
      </c>
      <c r="F59" s="21" t="s">
        <v>1763</v>
      </c>
      <c r="G59" s="21" t="s">
        <v>20</v>
      </c>
      <c r="H59" s="19">
        <v>2006</v>
      </c>
      <c r="I59" s="21" t="s">
        <v>32</v>
      </c>
      <c r="J59" s="21" t="s">
        <v>123</v>
      </c>
      <c r="K59" s="21" t="s">
        <v>60</v>
      </c>
      <c r="L59" s="21" t="s">
        <v>79</v>
      </c>
      <c r="M59" s="21" t="s">
        <v>277</v>
      </c>
      <c r="N59" s="19">
        <v>75</v>
      </c>
      <c r="O59" s="19">
        <v>131</v>
      </c>
      <c r="P59" s="19">
        <v>103</v>
      </c>
      <c r="Q59" s="19">
        <v>20</v>
      </c>
      <c r="R59" s="22" t="str">
        <f>IF(Cleaned_DS_jobs!$Q59&lt;10,"little_age_company",IF(AND(Cleaned_DS_jobs!$Q59&gt;=10,Cleaned_DS_jobs!$Q59&lt;=20),"average_age_company","Big_age_company"))</f>
        <v>average_age_company</v>
      </c>
    </row>
    <row r="60" spans="1:18" ht="19.95" customHeight="1" x14ac:dyDescent="0.3">
      <c r="A60" s="13" t="s">
        <v>26</v>
      </c>
      <c r="B60" s="14" t="s">
        <v>1705</v>
      </c>
      <c r="C60" s="14">
        <v>3.2</v>
      </c>
      <c r="D60" s="15" t="s">
        <v>2029</v>
      </c>
      <c r="E60" s="14" t="s">
        <v>143</v>
      </c>
      <c r="F60" s="16" t="s">
        <v>1763</v>
      </c>
      <c r="G60" s="16" t="s">
        <v>20</v>
      </c>
      <c r="H60" s="14">
        <v>2011</v>
      </c>
      <c r="I60" s="16" t="s">
        <v>53</v>
      </c>
      <c r="J60" s="16" t="s">
        <v>280</v>
      </c>
      <c r="K60" s="16" t="s">
        <v>281</v>
      </c>
      <c r="L60" s="16" t="s">
        <v>24</v>
      </c>
      <c r="M60" s="16" t="s">
        <v>282</v>
      </c>
      <c r="N60" s="14">
        <v>75</v>
      </c>
      <c r="O60" s="14">
        <v>131</v>
      </c>
      <c r="P60" s="14">
        <v>103</v>
      </c>
      <c r="Q60" s="14">
        <v>15</v>
      </c>
      <c r="R60" s="17" t="str">
        <f>IF(Cleaned_DS_jobs!$Q60&lt;10,"little_age_company",IF(AND(Cleaned_DS_jobs!$Q60&gt;=10,Cleaned_DS_jobs!$Q60&lt;=20),"average_age_company","Big_age_company"))</f>
        <v>average_age_company</v>
      </c>
    </row>
    <row r="61" spans="1:18" ht="19.95" customHeight="1" x14ac:dyDescent="0.3">
      <c r="A61" s="18" t="s">
        <v>283</v>
      </c>
      <c r="B61" s="19" t="s">
        <v>1705</v>
      </c>
      <c r="C61" s="19">
        <v>4.5</v>
      </c>
      <c r="D61" s="20" t="s">
        <v>2030</v>
      </c>
      <c r="E61" s="19" t="s">
        <v>91</v>
      </c>
      <c r="F61" s="21" t="s">
        <v>1754</v>
      </c>
      <c r="G61" s="21" t="s">
        <v>107</v>
      </c>
      <c r="H61" s="19">
        <v>1994</v>
      </c>
      <c r="I61" s="21" t="s">
        <v>53</v>
      </c>
      <c r="J61" s="21" t="s">
        <v>286</v>
      </c>
      <c r="K61" s="21" t="s">
        <v>34</v>
      </c>
      <c r="L61" s="21" t="s">
        <v>164</v>
      </c>
      <c r="M61" s="21">
        <v>-1</v>
      </c>
      <c r="N61" s="19">
        <v>75</v>
      </c>
      <c r="O61" s="19">
        <v>131</v>
      </c>
      <c r="P61" s="19">
        <v>103</v>
      </c>
      <c r="Q61" s="19">
        <v>32</v>
      </c>
      <c r="R61" s="22" t="str">
        <f>IF(Cleaned_DS_jobs!$Q61&lt;10,"little_age_company",IF(AND(Cleaned_DS_jobs!$Q61&gt;=10,Cleaned_DS_jobs!$Q61&lt;=20),"average_age_company","Big_age_company"))</f>
        <v>Big_age_company</v>
      </c>
    </row>
    <row r="62" spans="1:18" ht="19.95" customHeight="1" x14ac:dyDescent="0.3">
      <c r="A62" s="13" t="s">
        <v>218</v>
      </c>
      <c r="B62" s="14" t="s">
        <v>1705</v>
      </c>
      <c r="C62" s="14">
        <v>3.8</v>
      </c>
      <c r="D62" s="15" t="s">
        <v>2031</v>
      </c>
      <c r="E62" s="14" t="s">
        <v>289</v>
      </c>
      <c r="F62" s="16" t="s">
        <v>1785</v>
      </c>
      <c r="G62" s="16" t="s">
        <v>66</v>
      </c>
      <c r="H62" s="14">
        <v>1863</v>
      </c>
      <c r="I62" s="16" t="s">
        <v>32</v>
      </c>
      <c r="J62" s="16" t="s">
        <v>291</v>
      </c>
      <c r="K62" s="16" t="s">
        <v>23</v>
      </c>
      <c r="L62" s="16" t="s">
        <v>68</v>
      </c>
      <c r="M62" s="16" t="s">
        <v>292</v>
      </c>
      <c r="N62" s="14">
        <v>75</v>
      </c>
      <c r="O62" s="14">
        <v>131</v>
      </c>
      <c r="P62" s="14">
        <v>103</v>
      </c>
      <c r="Q62" s="14">
        <v>163</v>
      </c>
      <c r="R62" s="17" t="str">
        <f>IF(Cleaned_DS_jobs!$Q62&lt;10,"little_age_company",IF(AND(Cleaned_DS_jobs!$Q62&gt;=10,Cleaned_DS_jobs!$Q62&lt;=20),"average_age_company","Big_age_company"))</f>
        <v>Big_age_company</v>
      </c>
    </row>
    <row r="63" spans="1:18" ht="19.95" customHeight="1" x14ac:dyDescent="0.3">
      <c r="A63" s="18" t="s">
        <v>221</v>
      </c>
      <c r="B63" s="19" t="s">
        <v>1705</v>
      </c>
      <c r="C63" s="19">
        <v>4.5</v>
      </c>
      <c r="D63" s="20" t="s">
        <v>2032</v>
      </c>
      <c r="E63" s="19" t="s">
        <v>295</v>
      </c>
      <c r="F63" s="21" t="s">
        <v>1786</v>
      </c>
      <c r="G63" s="21" t="s">
        <v>107</v>
      </c>
      <c r="H63" s="19">
        <v>2010</v>
      </c>
      <c r="I63" s="21" t="s">
        <v>53</v>
      </c>
      <c r="J63" s="21" t="s">
        <v>175</v>
      </c>
      <c r="K63" s="21" t="s">
        <v>175</v>
      </c>
      <c r="L63" s="21" t="s">
        <v>41</v>
      </c>
      <c r="M63" s="21">
        <v>-1</v>
      </c>
      <c r="N63" s="19">
        <v>75</v>
      </c>
      <c r="O63" s="19">
        <v>131</v>
      </c>
      <c r="P63" s="19">
        <v>103</v>
      </c>
      <c r="Q63" s="19">
        <v>16</v>
      </c>
      <c r="R63" s="22" t="str">
        <f>IF(Cleaned_DS_jobs!$Q63&lt;10,"little_age_company",IF(AND(Cleaned_DS_jobs!$Q63&gt;=10,Cleaned_DS_jobs!$Q63&lt;=20),"average_age_company","Big_age_company"))</f>
        <v>average_age_company</v>
      </c>
    </row>
    <row r="64" spans="1:18" ht="19.95" customHeight="1" x14ac:dyDescent="0.3">
      <c r="A64" s="13" t="s">
        <v>26</v>
      </c>
      <c r="B64" s="14" t="s">
        <v>1706</v>
      </c>
      <c r="C64" s="14">
        <v>3.5</v>
      </c>
      <c r="D64" s="15" t="s">
        <v>1980</v>
      </c>
      <c r="E64" s="14" t="s">
        <v>71</v>
      </c>
      <c r="F64" s="16" t="s">
        <v>1750</v>
      </c>
      <c r="G64" s="16" t="s">
        <v>20</v>
      </c>
      <c r="H64" s="14">
        <v>1990</v>
      </c>
      <c r="I64" s="16" t="s">
        <v>32</v>
      </c>
      <c r="J64" s="16" t="s">
        <v>72</v>
      </c>
      <c r="K64" s="16" t="s">
        <v>73</v>
      </c>
      <c r="L64" s="16" t="s">
        <v>35</v>
      </c>
      <c r="M64" s="16">
        <v>-1</v>
      </c>
      <c r="N64" s="14">
        <v>79</v>
      </c>
      <c r="O64" s="14">
        <v>131</v>
      </c>
      <c r="P64" s="14">
        <v>105</v>
      </c>
      <c r="Q64" s="14">
        <v>36</v>
      </c>
      <c r="R64" s="17" t="str">
        <f>IF(Cleaned_DS_jobs!$Q64&lt;10,"little_age_company",IF(AND(Cleaned_DS_jobs!$Q64&gt;=10,Cleaned_DS_jobs!$Q64&lt;=20),"average_age_company","Big_age_company"))</f>
        <v>Big_age_company</v>
      </c>
    </row>
    <row r="65" spans="1:18" ht="19.95" customHeight="1" x14ac:dyDescent="0.3">
      <c r="A65" s="18" t="s">
        <v>26</v>
      </c>
      <c r="B65" s="19" t="s">
        <v>1706</v>
      </c>
      <c r="C65" s="19">
        <v>4.2</v>
      </c>
      <c r="D65" s="20" t="s">
        <v>1978</v>
      </c>
      <c r="E65" s="19" t="s">
        <v>58</v>
      </c>
      <c r="F65" s="21" t="s">
        <v>1748</v>
      </c>
      <c r="G65" s="21" t="s">
        <v>52</v>
      </c>
      <c r="H65" s="19">
        <v>2010</v>
      </c>
      <c r="I65" s="21" t="s">
        <v>53</v>
      </c>
      <c r="J65" s="21" t="s">
        <v>59</v>
      </c>
      <c r="K65" s="21" t="s">
        <v>60</v>
      </c>
      <c r="L65" s="21" t="s">
        <v>24</v>
      </c>
      <c r="M65" s="21">
        <v>-1</v>
      </c>
      <c r="N65" s="19">
        <v>79</v>
      </c>
      <c r="O65" s="19">
        <v>131</v>
      </c>
      <c r="P65" s="19">
        <v>105</v>
      </c>
      <c r="Q65" s="19">
        <v>16</v>
      </c>
      <c r="R65" s="22" t="str">
        <f>IF(Cleaned_DS_jobs!$Q65&lt;10,"little_age_company",IF(AND(Cleaned_DS_jobs!$Q65&gt;=10,Cleaned_DS_jobs!$Q65&lt;=20),"average_age_company","Big_age_company"))</f>
        <v>average_age_company</v>
      </c>
    </row>
    <row r="66" spans="1:18" ht="19.95" customHeight="1" x14ac:dyDescent="0.3">
      <c r="A66" s="13" t="s">
        <v>297</v>
      </c>
      <c r="B66" s="14" t="s">
        <v>1706</v>
      </c>
      <c r="C66" s="14">
        <v>3.8</v>
      </c>
      <c r="D66" s="15" t="s">
        <v>2033</v>
      </c>
      <c r="E66" s="14" t="s">
        <v>300</v>
      </c>
      <c r="F66" s="16" t="s">
        <v>1787</v>
      </c>
      <c r="G66" s="16" t="s">
        <v>107</v>
      </c>
      <c r="H66" s="14">
        <v>1986</v>
      </c>
      <c r="I66" s="16" t="s">
        <v>301</v>
      </c>
      <c r="J66" s="16" t="s">
        <v>302</v>
      </c>
      <c r="K66" s="16" t="s">
        <v>48</v>
      </c>
      <c r="L66" s="16" t="s">
        <v>41</v>
      </c>
      <c r="M66" s="16" t="s">
        <v>303</v>
      </c>
      <c r="N66" s="14">
        <v>79</v>
      </c>
      <c r="O66" s="14">
        <v>131</v>
      </c>
      <c r="P66" s="14">
        <v>105</v>
      </c>
      <c r="Q66" s="14">
        <v>40</v>
      </c>
      <c r="R66" s="17" t="str">
        <f>IF(Cleaned_DS_jobs!$Q66&lt;10,"little_age_company",IF(AND(Cleaned_DS_jobs!$Q66&gt;=10,Cleaned_DS_jobs!$Q66&lt;=20),"average_age_company","Big_age_company"))</f>
        <v>Big_age_company</v>
      </c>
    </row>
    <row r="67" spans="1:18" ht="19.95" customHeight="1" x14ac:dyDescent="0.3">
      <c r="A67" s="18" t="s">
        <v>189</v>
      </c>
      <c r="B67" s="19" t="s">
        <v>1706</v>
      </c>
      <c r="C67" s="19">
        <v>3.7</v>
      </c>
      <c r="D67" s="20" t="s">
        <v>2034</v>
      </c>
      <c r="E67" s="19" t="s">
        <v>306</v>
      </c>
      <c r="F67" s="21" t="s">
        <v>1788</v>
      </c>
      <c r="G67" s="21" t="s">
        <v>20</v>
      </c>
      <c r="H67" s="19">
        <v>1995</v>
      </c>
      <c r="I67" s="21" t="s">
        <v>53</v>
      </c>
      <c r="J67" s="21" t="s">
        <v>169</v>
      </c>
      <c r="K67" s="21" t="s">
        <v>170</v>
      </c>
      <c r="L67" s="21" t="s">
        <v>41</v>
      </c>
      <c r="M67" s="21">
        <v>-1</v>
      </c>
      <c r="N67" s="19">
        <v>79</v>
      </c>
      <c r="O67" s="19">
        <v>131</v>
      </c>
      <c r="P67" s="19">
        <v>105</v>
      </c>
      <c r="Q67" s="19">
        <v>31</v>
      </c>
      <c r="R67" s="22" t="str">
        <f>IF(Cleaned_DS_jobs!$Q67&lt;10,"little_age_company",IF(AND(Cleaned_DS_jobs!$Q67&gt;=10,Cleaned_DS_jobs!$Q67&lt;=20),"average_age_company","Big_age_company"))</f>
        <v>Big_age_company</v>
      </c>
    </row>
    <row r="68" spans="1:18" ht="19.95" customHeight="1" x14ac:dyDescent="0.3">
      <c r="A68" s="13" t="s">
        <v>26</v>
      </c>
      <c r="B68" s="14" t="s">
        <v>1706</v>
      </c>
      <c r="C68" s="14">
        <v>3.7</v>
      </c>
      <c r="D68" s="15" t="s">
        <v>2035</v>
      </c>
      <c r="E68" s="14" t="s">
        <v>19</v>
      </c>
      <c r="F68" s="16" t="s">
        <v>1744</v>
      </c>
      <c r="G68" s="16" t="s">
        <v>46</v>
      </c>
      <c r="H68" s="14">
        <v>2012</v>
      </c>
      <c r="I68" s="16" t="s">
        <v>53</v>
      </c>
      <c r="J68" s="16" t="s">
        <v>123</v>
      </c>
      <c r="K68" s="16" t="s">
        <v>60</v>
      </c>
      <c r="L68" s="16" t="s">
        <v>24</v>
      </c>
      <c r="M68" s="16">
        <v>-1</v>
      </c>
      <c r="N68" s="14">
        <v>79</v>
      </c>
      <c r="O68" s="14">
        <v>131</v>
      </c>
      <c r="P68" s="14">
        <v>105</v>
      </c>
      <c r="Q68" s="14">
        <v>14</v>
      </c>
      <c r="R68" s="17" t="str">
        <f>IF(Cleaned_DS_jobs!$Q68&lt;10,"little_age_company",IF(AND(Cleaned_DS_jobs!$Q68&gt;=10,Cleaned_DS_jobs!$Q68&lt;=20),"average_age_company","Big_age_company"))</f>
        <v>average_age_company</v>
      </c>
    </row>
    <row r="69" spans="1:18" ht="19.95" customHeight="1" x14ac:dyDescent="0.3">
      <c r="A69" s="18" t="s">
        <v>26</v>
      </c>
      <c r="B69" s="19" t="s">
        <v>1706</v>
      </c>
      <c r="C69" s="19">
        <v>4</v>
      </c>
      <c r="D69" s="20" t="s">
        <v>2036</v>
      </c>
      <c r="E69" s="19" t="s">
        <v>258</v>
      </c>
      <c r="F69" s="21" t="s">
        <v>1789</v>
      </c>
      <c r="G69" s="21" t="s">
        <v>20</v>
      </c>
      <c r="H69" s="19">
        <v>2006</v>
      </c>
      <c r="I69" s="21" t="s">
        <v>53</v>
      </c>
      <c r="J69" s="21" t="s">
        <v>84</v>
      </c>
      <c r="K69" s="21" t="s">
        <v>60</v>
      </c>
      <c r="L69" s="21" t="s">
        <v>194</v>
      </c>
      <c r="M69" s="21" t="s">
        <v>312</v>
      </c>
      <c r="N69" s="19">
        <v>79</v>
      </c>
      <c r="O69" s="19">
        <v>131</v>
      </c>
      <c r="P69" s="19">
        <v>105</v>
      </c>
      <c r="Q69" s="19">
        <v>20</v>
      </c>
      <c r="R69" s="22" t="str">
        <f>IF(Cleaned_DS_jobs!$Q69&lt;10,"little_age_company",IF(AND(Cleaned_DS_jobs!$Q69&gt;=10,Cleaned_DS_jobs!$Q69&lt;=20),"average_age_company","Big_age_company"))</f>
        <v>average_age_company</v>
      </c>
    </row>
    <row r="70" spans="1:18" ht="19.95" customHeight="1" x14ac:dyDescent="0.3">
      <c r="A70" s="13" t="s">
        <v>313</v>
      </c>
      <c r="B70" s="14" t="s">
        <v>1706</v>
      </c>
      <c r="C70" s="14">
        <v>3.3</v>
      </c>
      <c r="D70" s="15" t="s">
        <v>2037</v>
      </c>
      <c r="E70" s="14" t="s">
        <v>83</v>
      </c>
      <c r="F70" s="16" t="s">
        <v>1752</v>
      </c>
      <c r="G70" s="16" t="s">
        <v>46</v>
      </c>
      <c r="H70" s="14">
        <v>2015</v>
      </c>
      <c r="I70" s="16" t="s">
        <v>53</v>
      </c>
      <c r="J70" s="16" t="s">
        <v>67</v>
      </c>
      <c r="K70" s="16" t="s">
        <v>67</v>
      </c>
      <c r="L70" s="16" t="s">
        <v>24</v>
      </c>
      <c r="M70" s="16">
        <v>-1</v>
      </c>
      <c r="N70" s="14">
        <v>79</v>
      </c>
      <c r="O70" s="14">
        <v>131</v>
      </c>
      <c r="P70" s="14">
        <v>105</v>
      </c>
      <c r="Q70" s="14">
        <v>11</v>
      </c>
      <c r="R70" s="17" t="str">
        <f>IF(Cleaned_DS_jobs!$Q70&lt;10,"little_age_company",IF(AND(Cleaned_DS_jobs!$Q70&gt;=10,Cleaned_DS_jobs!$Q70&lt;=20),"average_age_company","Big_age_company"))</f>
        <v>average_age_company</v>
      </c>
    </row>
    <row r="71" spans="1:18" ht="19.95" customHeight="1" x14ac:dyDescent="0.3">
      <c r="A71" s="18" t="s">
        <v>316</v>
      </c>
      <c r="B71" s="19" t="s">
        <v>1706</v>
      </c>
      <c r="C71" s="19">
        <v>2.5</v>
      </c>
      <c r="D71" s="20" t="s">
        <v>2038</v>
      </c>
      <c r="E71" s="19" t="s">
        <v>319</v>
      </c>
      <c r="F71" s="21" t="s">
        <v>1790</v>
      </c>
      <c r="G71" s="21" t="s">
        <v>117</v>
      </c>
      <c r="H71" s="19">
        <v>-1</v>
      </c>
      <c r="I71" s="21" t="s">
        <v>53</v>
      </c>
      <c r="J71" s="21" t="s">
        <v>67</v>
      </c>
      <c r="K71" s="21" t="s">
        <v>67</v>
      </c>
      <c r="L71" s="21" t="s">
        <v>24</v>
      </c>
      <c r="M71" s="21" t="s">
        <v>320</v>
      </c>
      <c r="N71" s="19">
        <v>79</v>
      </c>
      <c r="O71" s="19">
        <v>131</v>
      </c>
      <c r="P71" s="19">
        <v>105</v>
      </c>
      <c r="Q71" s="19">
        <v>-1</v>
      </c>
      <c r="R71" s="22" t="str">
        <f>IF(Cleaned_DS_jobs!$Q71&lt;10,"little_age_company",IF(AND(Cleaned_DS_jobs!$Q71&gt;=10,Cleaned_DS_jobs!$Q71&lt;=20),"average_age_company","Big_age_company"))</f>
        <v>little_age_company</v>
      </c>
    </row>
    <row r="72" spans="1:18" ht="19.95" customHeight="1" x14ac:dyDescent="0.3">
      <c r="A72" s="13" t="s">
        <v>321</v>
      </c>
      <c r="B72" s="14" t="s">
        <v>1706</v>
      </c>
      <c r="C72" s="14">
        <v>4.2</v>
      </c>
      <c r="D72" s="15" t="s">
        <v>2039</v>
      </c>
      <c r="E72" s="14" t="s">
        <v>324</v>
      </c>
      <c r="F72" s="16" t="s">
        <v>1791</v>
      </c>
      <c r="G72" s="16" t="s">
        <v>52</v>
      </c>
      <c r="H72" s="14">
        <v>2006</v>
      </c>
      <c r="I72" s="16" t="s">
        <v>32</v>
      </c>
      <c r="J72" s="16" t="s">
        <v>54</v>
      </c>
      <c r="K72" s="16" t="s">
        <v>34</v>
      </c>
      <c r="L72" s="16" t="s">
        <v>164</v>
      </c>
      <c r="M72" s="16" t="s">
        <v>325</v>
      </c>
      <c r="N72" s="14">
        <v>79</v>
      </c>
      <c r="O72" s="14">
        <v>131</v>
      </c>
      <c r="P72" s="14">
        <v>105</v>
      </c>
      <c r="Q72" s="14">
        <v>20</v>
      </c>
      <c r="R72" s="17" t="str">
        <f>IF(Cleaned_DS_jobs!$Q72&lt;10,"little_age_company",IF(AND(Cleaned_DS_jobs!$Q72&gt;=10,Cleaned_DS_jobs!$Q72&lt;=20),"average_age_company","Big_age_company"))</f>
        <v>average_age_company</v>
      </c>
    </row>
    <row r="73" spans="1:18" ht="19.95" customHeight="1" x14ac:dyDescent="0.3">
      <c r="A73" s="18" t="s">
        <v>326</v>
      </c>
      <c r="B73" s="19" t="s">
        <v>1706</v>
      </c>
      <c r="C73" s="19">
        <v>3.3</v>
      </c>
      <c r="D73" s="20" t="s">
        <v>2037</v>
      </c>
      <c r="E73" s="19" t="s">
        <v>328</v>
      </c>
      <c r="F73" s="21" t="s">
        <v>1752</v>
      </c>
      <c r="G73" s="21" t="s">
        <v>46</v>
      </c>
      <c r="H73" s="19">
        <v>2015</v>
      </c>
      <c r="I73" s="21" t="s">
        <v>53</v>
      </c>
      <c r="J73" s="21" t="s">
        <v>67</v>
      </c>
      <c r="K73" s="21" t="s">
        <v>67</v>
      </c>
      <c r="L73" s="21" t="s">
        <v>24</v>
      </c>
      <c r="M73" s="21">
        <v>-1</v>
      </c>
      <c r="N73" s="19">
        <v>79</v>
      </c>
      <c r="O73" s="19">
        <v>131</v>
      </c>
      <c r="P73" s="19">
        <v>105</v>
      </c>
      <c r="Q73" s="19">
        <v>11</v>
      </c>
      <c r="R73" s="22" t="str">
        <f>IF(Cleaned_DS_jobs!$Q73&lt;10,"little_age_company",IF(AND(Cleaned_DS_jobs!$Q73&gt;=10,Cleaned_DS_jobs!$Q73&lt;=20),"average_age_company","Big_age_company"))</f>
        <v>average_age_company</v>
      </c>
    </row>
    <row r="74" spans="1:18" ht="19.95" customHeight="1" x14ac:dyDescent="0.3">
      <c r="A74" s="13" t="s">
        <v>329</v>
      </c>
      <c r="B74" s="14" t="s">
        <v>1706</v>
      </c>
      <c r="C74" s="14">
        <v>4</v>
      </c>
      <c r="D74" s="15" t="s">
        <v>2040</v>
      </c>
      <c r="E74" s="14" t="s">
        <v>143</v>
      </c>
      <c r="F74" s="16" t="s">
        <v>1792</v>
      </c>
      <c r="G74" s="16" t="s">
        <v>31</v>
      </c>
      <c r="H74" s="14">
        <v>1982</v>
      </c>
      <c r="I74" s="16" t="s">
        <v>32</v>
      </c>
      <c r="J74" s="16" t="s">
        <v>59</v>
      </c>
      <c r="K74" s="16" t="s">
        <v>60</v>
      </c>
      <c r="L74" s="16" t="s">
        <v>79</v>
      </c>
      <c r="M74" s="16">
        <v>-1</v>
      </c>
      <c r="N74" s="14">
        <v>79</v>
      </c>
      <c r="O74" s="14">
        <v>131</v>
      </c>
      <c r="P74" s="14">
        <v>105</v>
      </c>
      <c r="Q74" s="14">
        <v>44</v>
      </c>
      <c r="R74" s="17" t="str">
        <f>IF(Cleaned_DS_jobs!$Q74&lt;10,"little_age_company",IF(AND(Cleaned_DS_jobs!$Q74&gt;=10,Cleaned_DS_jobs!$Q74&lt;=20),"average_age_company","Big_age_company"))</f>
        <v>Big_age_company</v>
      </c>
    </row>
    <row r="75" spans="1:18" ht="19.95" customHeight="1" x14ac:dyDescent="0.3">
      <c r="A75" s="18" t="s">
        <v>333</v>
      </c>
      <c r="B75" s="19" t="s">
        <v>1706</v>
      </c>
      <c r="C75" s="19">
        <v>3.7</v>
      </c>
      <c r="D75" s="20" t="s">
        <v>2041</v>
      </c>
      <c r="E75" s="19" t="s">
        <v>336</v>
      </c>
      <c r="F75" s="21" t="s">
        <v>1793</v>
      </c>
      <c r="G75" s="21" t="s">
        <v>66</v>
      </c>
      <c r="H75" s="19">
        <v>1925</v>
      </c>
      <c r="I75" s="21" t="s">
        <v>32</v>
      </c>
      <c r="J75" s="21" t="s">
        <v>338</v>
      </c>
      <c r="K75" s="21" t="s">
        <v>48</v>
      </c>
      <c r="L75" s="21" t="s">
        <v>68</v>
      </c>
      <c r="M75" s="21" t="s">
        <v>339</v>
      </c>
      <c r="N75" s="19">
        <v>79</v>
      </c>
      <c r="O75" s="19">
        <v>131</v>
      </c>
      <c r="P75" s="19">
        <v>105</v>
      </c>
      <c r="Q75" s="19">
        <v>101</v>
      </c>
      <c r="R75" s="22" t="str">
        <f>IF(Cleaned_DS_jobs!$Q75&lt;10,"little_age_company",IF(AND(Cleaned_DS_jobs!$Q75&gt;=10,Cleaned_DS_jobs!$Q75&lt;=20),"average_age_company","Big_age_company"))</f>
        <v>Big_age_company</v>
      </c>
    </row>
    <row r="76" spans="1:18" ht="19.95" customHeight="1" x14ac:dyDescent="0.3">
      <c r="A76" s="13" t="s">
        <v>340</v>
      </c>
      <c r="B76" s="14" t="s">
        <v>1706</v>
      </c>
      <c r="C76" s="14">
        <v>4.9000000000000004</v>
      </c>
      <c r="D76" s="15" t="s">
        <v>2042</v>
      </c>
      <c r="E76" s="14" t="s">
        <v>343</v>
      </c>
      <c r="F76" s="16" t="s">
        <v>1794</v>
      </c>
      <c r="G76" s="16" t="s">
        <v>107</v>
      </c>
      <c r="H76" s="14">
        <v>1974</v>
      </c>
      <c r="I76" s="16" t="s">
        <v>53</v>
      </c>
      <c r="J76" s="16" t="s">
        <v>67</v>
      </c>
      <c r="K76" s="16" t="s">
        <v>67</v>
      </c>
      <c r="L76" s="16" t="s">
        <v>24</v>
      </c>
      <c r="M76" s="16" t="s">
        <v>344</v>
      </c>
      <c r="N76" s="14">
        <v>79</v>
      </c>
      <c r="O76" s="14">
        <v>131</v>
      </c>
      <c r="P76" s="14">
        <v>105</v>
      </c>
      <c r="Q76" s="14">
        <v>52</v>
      </c>
      <c r="R76" s="17" t="str">
        <f>IF(Cleaned_DS_jobs!$Q76&lt;10,"little_age_company",IF(AND(Cleaned_DS_jobs!$Q76&gt;=10,Cleaned_DS_jobs!$Q76&lt;=20),"average_age_company","Big_age_company"))</f>
        <v>Big_age_company</v>
      </c>
    </row>
    <row r="77" spans="1:18" ht="19.95" customHeight="1" x14ac:dyDescent="0.3">
      <c r="A77" s="18" t="s">
        <v>218</v>
      </c>
      <c r="B77" s="19" t="s">
        <v>1706</v>
      </c>
      <c r="C77" s="19">
        <v>3.4</v>
      </c>
      <c r="D77" s="20" t="s">
        <v>2043</v>
      </c>
      <c r="E77" s="19" t="s">
        <v>347</v>
      </c>
      <c r="F77" s="21" t="s">
        <v>1795</v>
      </c>
      <c r="G77" s="21" t="s">
        <v>20</v>
      </c>
      <c r="H77" s="19">
        <v>2001</v>
      </c>
      <c r="I77" s="21" t="s">
        <v>301</v>
      </c>
      <c r="J77" s="21" t="s">
        <v>291</v>
      </c>
      <c r="K77" s="21" t="s">
        <v>23</v>
      </c>
      <c r="L77" s="21" t="s">
        <v>41</v>
      </c>
      <c r="M77" s="21" t="s">
        <v>348</v>
      </c>
      <c r="N77" s="19">
        <v>79</v>
      </c>
      <c r="O77" s="19">
        <v>131</v>
      </c>
      <c r="P77" s="19">
        <v>105</v>
      </c>
      <c r="Q77" s="19">
        <v>25</v>
      </c>
      <c r="R77" s="22" t="str">
        <f>IF(Cleaned_DS_jobs!$Q77&lt;10,"little_age_company",IF(AND(Cleaned_DS_jobs!$Q77&gt;=10,Cleaned_DS_jobs!$Q77&lt;=20),"average_age_company","Big_age_company"))</f>
        <v>Big_age_company</v>
      </c>
    </row>
    <row r="78" spans="1:18" ht="19.95" customHeight="1" x14ac:dyDescent="0.3">
      <c r="A78" s="13" t="s">
        <v>349</v>
      </c>
      <c r="B78" s="14" t="s">
        <v>1706</v>
      </c>
      <c r="C78" s="14">
        <v>3.1</v>
      </c>
      <c r="D78" s="15" t="s">
        <v>1973</v>
      </c>
      <c r="E78" s="14" t="s">
        <v>19</v>
      </c>
      <c r="F78" s="16" t="s">
        <v>1744</v>
      </c>
      <c r="G78" s="16" t="s">
        <v>20</v>
      </c>
      <c r="H78" s="14">
        <v>1993</v>
      </c>
      <c r="I78" s="16" t="s">
        <v>21</v>
      </c>
      <c r="J78" s="16" t="s">
        <v>22</v>
      </c>
      <c r="K78" s="16" t="s">
        <v>23</v>
      </c>
      <c r="L78" s="16" t="s">
        <v>24</v>
      </c>
      <c r="M78" s="16" t="s">
        <v>25</v>
      </c>
      <c r="N78" s="14">
        <v>79</v>
      </c>
      <c r="O78" s="14">
        <v>131</v>
      </c>
      <c r="P78" s="14">
        <v>105</v>
      </c>
      <c r="Q78" s="14">
        <v>33</v>
      </c>
      <c r="R78" s="17" t="str">
        <f>IF(Cleaned_DS_jobs!$Q78&lt;10,"little_age_company",IF(AND(Cleaned_DS_jobs!$Q78&gt;=10,Cleaned_DS_jobs!$Q78&lt;=20),"average_age_company","Big_age_company"))</f>
        <v>Big_age_company</v>
      </c>
    </row>
    <row r="79" spans="1:18" ht="19.95" customHeight="1" x14ac:dyDescent="0.3">
      <c r="A79" s="18" t="s">
        <v>26</v>
      </c>
      <c r="B79" s="19" t="s">
        <v>1706</v>
      </c>
      <c r="C79" s="19">
        <v>3.5</v>
      </c>
      <c r="D79" s="20" t="s">
        <v>2044</v>
      </c>
      <c r="E79" s="19" t="s">
        <v>111</v>
      </c>
      <c r="F79" s="21" t="s">
        <v>1796</v>
      </c>
      <c r="G79" s="21" t="s">
        <v>20</v>
      </c>
      <c r="H79" s="19">
        <v>2019</v>
      </c>
      <c r="I79" s="21" t="s">
        <v>53</v>
      </c>
      <c r="J79" s="21" t="s">
        <v>123</v>
      </c>
      <c r="K79" s="21" t="s">
        <v>60</v>
      </c>
      <c r="L79" s="21" t="s">
        <v>24</v>
      </c>
      <c r="M79" s="21" t="s">
        <v>354</v>
      </c>
      <c r="N79" s="19">
        <v>79</v>
      </c>
      <c r="O79" s="19">
        <v>131</v>
      </c>
      <c r="P79" s="19">
        <v>105</v>
      </c>
      <c r="Q79" s="19">
        <v>7</v>
      </c>
      <c r="R79" s="22" t="str">
        <f>IF(Cleaned_DS_jobs!$Q79&lt;10,"little_age_company",IF(AND(Cleaned_DS_jobs!$Q79&gt;=10,Cleaned_DS_jobs!$Q79&lt;=20),"average_age_company","Big_age_company"))</f>
        <v>little_age_company</v>
      </c>
    </row>
    <row r="80" spans="1:18" ht="19.95" customHeight="1" x14ac:dyDescent="0.3">
      <c r="A80" s="13" t="s">
        <v>26</v>
      </c>
      <c r="B80" s="14" t="s">
        <v>1706</v>
      </c>
      <c r="C80" s="14">
        <v>2.9</v>
      </c>
      <c r="D80" s="15" t="s">
        <v>2045</v>
      </c>
      <c r="E80" s="14" t="s">
        <v>19</v>
      </c>
      <c r="F80" s="16" t="s">
        <v>1797</v>
      </c>
      <c r="G80" s="16" t="s">
        <v>107</v>
      </c>
      <c r="H80" s="14">
        <v>1985</v>
      </c>
      <c r="I80" s="16" t="s">
        <v>53</v>
      </c>
      <c r="J80" s="16" t="s">
        <v>22</v>
      </c>
      <c r="K80" s="16" t="s">
        <v>23</v>
      </c>
      <c r="L80" s="16" t="s">
        <v>24</v>
      </c>
      <c r="M80" s="16" t="s">
        <v>358</v>
      </c>
      <c r="N80" s="14">
        <v>79</v>
      </c>
      <c r="O80" s="14">
        <v>131</v>
      </c>
      <c r="P80" s="14">
        <v>105</v>
      </c>
      <c r="Q80" s="14">
        <v>41</v>
      </c>
      <c r="R80" s="17" t="str">
        <f>IF(Cleaned_DS_jobs!$Q80&lt;10,"little_age_company",IF(AND(Cleaned_DS_jobs!$Q80&gt;=10,Cleaned_DS_jobs!$Q80&lt;=20),"average_age_company","Big_age_company"))</f>
        <v>Big_age_company</v>
      </c>
    </row>
    <row r="81" spans="1:18" ht="19.95" customHeight="1" x14ac:dyDescent="0.3">
      <c r="A81" s="18" t="s">
        <v>359</v>
      </c>
      <c r="B81" s="19" t="s">
        <v>1706</v>
      </c>
      <c r="C81" s="19">
        <v>3.3</v>
      </c>
      <c r="D81" s="20" t="s">
        <v>2046</v>
      </c>
      <c r="E81" s="19" t="s">
        <v>362</v>
      </c>
      <c r="F81" s="21" t="s">
        <v>1798</v>
      </c>
      <c r="G81" s="21" t="s">
        <v>107</v>
      </c>
      <c r="H81" s="19">
        <v>2003</v>
      </c>
      <c r="I81" s="21" t="s">
        <v>32</v>
      </c>
      <c r="J81" s="21" t="s">
        <v>67</v>
      </c>
      <c r="K81" s="21" t="s">
        <v>67</v>
      </c>
      <c r="L81" s="21" t="s">
        <v>41</v>
      </c>
      <c r="M81" s="21">
        <v>-1</v>
      </c>
      <c r="N81" s="19">
        <v>79</v>
      </c>
      <c r="O81" s="19">
        <v>131</v>
      </c>
      <c r="P81" s="19">
        <v>105</v>
      </c>
      <c r="Q81" s="19">
        <v>23</v>
      </c>
      <c r="R81" s="22" t="str">
        <f>IF(Cleaned_DS_jobs!$Q81&lt;10,"little_age_company",IF(AND(Cleaned_DS_jobs!$Q81&gt;=10,Cleaned_DS_jobs!$Q81&lt;=20),"average_age_company","Big_age_company"))</f>
        <v>Big_age_company</v>
      </c>
    </row>
    <row r="82" spans="1:18" ht="19.95" customHeight="1" x14ac:dyDescent="0.3">
      <c r="A82" s="13" t="s">
        <v>363</v>
      </c>
      <c r="B82" s="14" t="s">
        <v>1706</v>
      </c>
      <c r="C82" s="14">
        <v>4</v>
      </c>
      <c r="D82" s="15" t="s">
        <v>2047</v>
      </c>
      <c r="E82" s="14" t="s">
        <v>366</v>
      </c>
      <c r="F82" s="16" t="s">
        <v>1799</v>
      </c>
      <c r="G82" s="16" t="s">
        <v>66</v>
      </c>
      <c r="H82" s="14">
        <v>1913</v>
      </c>
      <c r="I82" s="16" t="s">
        <v>32</v>
      </c>
      <c r="J82" s="16" t="s">
        <v>67</v>
      </c>
      <c r="K82" s="16" t="s">
        <v>67</v>
      </c>
      <c r="L82" s="16" t="s">
        <v>68</v>
      </c>
      <c r="M82" s="16" t="s">
        <v>368</v>
      </c>
      <c r="N82" s="14">
        <v>79</v>
      </c>
      <c r="O82" s="14">
        <v>131</v>
      </c>
      <c r="P82" s="14">
        <v>105</v>
      </c>
      <c r="Q82" s="14">
        <v>113</v>
      </c>
      <c r="R82" s="17" t="str">
        <f>IF(Cleaned_DS_jobs!$Q82&lt;10,"little_age_company",IF(AND(Cleaned_DS_jobs!$Q82&gt;=10,Cleaned_DS_jobs!$Q82&lt;=20),"average_age_company","Big_age_company"))</f>
        <v>Big_age_company</v>
      </c>
    </row>
    <row r="83" spans="1:18" ht="19.95" customHeight="1" x14ac:dyDescent="0.3">
      <c r="A83" s="18" t="s">
        <v>26</v>
      </c>
      <c r="B83" s="19" t="s">
        <v>1706</v>
      </c>
      <c r="C83" s="19">
        <v>3.6</v>
      </c>
      <c r="D83" s="20" t="s">
        <v>2048</v>
      </c>
      <c r="E83" s="19" t="s">
        <v>111</v>
      </c>
      <c r="F83" s="21" t="s">
        <v>1800</v>
      </c>
      <c r="G83" s="21" t="s">
        <v>52</v>
      </c>
      <c r="H83" s="19">
        <v>2001</v>
      </c>
      <c r="I83" s="21" t="s">
        <v>53</v>
      </c>
      <c r="J83" s="21" t="s">
        <v>92</v>
      </c>
      <c r="K83" s="21" t="s">
        <v>60</v>
      </c>
      <c r="L83" s="21" t="s">
        <v>164</v>
      </c>
      <c r="M83" s="21">
        <v>-1</v>
      </c>
      <c r="N83" s="19">
        <v>79</v>
      </c>
      <c r="O83" s="19">
        <v>131</v>
      </c>
      <c r="P83" s="19">
        <v>105</v>
      </c>
      <c r="Q83" s="19">
        <v>25</v>
      </c>
      <c r="R83" s="22" t="str">
        <f>IF(Cleaned_DS_jobs!$Q83&lt;10,"little_age_company",IF(AND(Cleaned_DS_jobs!$Q83&gt;=10,Cleaned_DS_jobs!$Q83&lt;=20),"average_age_company","Big_age_company"))</f>
        <v>Big_age_company</v>
      </c>
    </row>
    <row r="84" spans="1:18" ht="19.95" customHeight="1" x14ac:dyDescent="0.3">
      <c r="A84" s="13" t="s">
        <v>189</v>
      </c>
      <c r="B84" s="14" t="s">
        <v>1706</v>
      </c>
      <c r="C84" s="14">
        <v>4.7</v>
      </c>
      <c r="D84" s="15" t="s">
        <v>2049</v>
      </c>
      <c r="E84" s="14" t="s">
        <v>91</v>
      </c>
      <c r="F84" s="16" t="s">
        <v>1801</v>
      </c>
      <c r="G84" s="16" t="s">
        <v>52</v>
      </c>
      <c r="H84" s="14">
        <v>1996</v>
      </c>
      <c r="I84" s="16" t="s">
        <v>53</v>
      </c>
      <c r="J84" s="16" t="s">
        <v>40</v>
      </c>
      <c r="K84" s="16" t="s">
        <v>34</v>
      </c>
      <c r="L84" s="16" t="s">
        <v>164</v>
      </c>
      <c r="M84" s="16" t="s">
        <v>375</v>
      </c>
      <c r="N84" s="14">
        <v>79</v>
      </c>
      <c r="O84" s="14">
        <v>131</v>
      </c>
      <c r="P84" s="14">
        <v>105</v>
      </c>
      <c r="Q84" s="14">
        <v>30</v>
      </c>
      <c r="R84" s="17" t="str">
        <f>IF(Cleaned_DS_jobs!$Q84&lt;10,"little_age_company",IF(AND(Cleaned_DS_jobs!$Q84&gt;=10,Cleaned_DS_jobs!$Q84&lt;=20),"average_age_company","Big_age_company"))</f>
        <v>Big_age_company</v>
      </c>
    </row>
    <row r="85" spans="1:18" ht="19.95" customHeight="1" x14ac:dyDescent="0.3">
      <c r="A85" s="18" t="s">
        <v>1660</v>
      </c>
      <c r="B85" s="19" t="s">
        <v>1706</v>
      </c>
      <c r="C85" s="19">
        <v>4.9000000000000004</v>
      </c>
      <c r="D85" s="20" t="s">
        <v>2050</v>
      </c>
      <c r="E85" s="19" t="s">
        <v>379</v>
      </c>
      <c r="F85" s="21" t="s">
        <v>1752</v>
      </c>
      <c r="G85" s="21" t="s">
        <v>117</v>
      </c>
      <c r="H85" s="19">
        <v>2016</v>
      </c>
      <c r="I85" s="21" t="s">
        <v>53</v>
      </c>
      <c r="J85" s="21" t="s">
        <v>286</v>
      </c>
      <c r="K85" s="21" t="s">
        <v>34</v>
      </c>
      <c r="L85" s="21" t="s">
        <v>24</v>
      </c>
      <c r="M85" s="21">
        <v>-1</v>
      </c>
      <c r="N85" s="19">
        <v>79</v>
      </c>
      <c r="O85" s="19">
        <v>131</v>
      </c>
      <c r="P85" s="19">
        <v>105</v>
      </c>
      <c r="Q85" s="19">
        <v>10</v>
      </c>
      <c r="R85" s="22" t="str">
        <f>IF(Cleaned_DS_jobs!$Q85&lt;10,"little_age_company",IF(AND(Cleaned_DS_jobs!$Q85&gt;=10,Cleaned_DS_jobs!$Q85&lt;=20),"average_age_company","Big_age_company"))</f>
        <v>average_age_company</v>
      </c>
    </row>
    <row r="86" spans="1:18" ht="19.95" customHeight="1" x14ac:dyDescent="0.3">
      <c r="A86" s="13" t="s">
        <v>26</v>
      </c>
      <c r="B86" s="14" t="s">
        <v>1706</v>
      </c>
      <c r="C86" s="14">
        <v>4.3</v>
      </c>
      <c r="D86" s="15" t="s">
        <v>2051</v>
      </c>
      <c r="E86" s="14" t="s">
        <v>382</v>
      </c>
      <c r="F86" s="16" t="s">
        <v>1802</v>
      </c>
      <c r="G86" s="16" t="s">
        <v>52</v>
      </c>
      <c r="H86" s="14">
        <v>1999</v>
      </c>
      <c r="I86" s="16" t="s">
        <v>53</v>
      </c>
      <c r="J86" s="16" t="s">
        <v>59</v>
      </c>
      <c r="K86" s="16" t="s">
        <v>60</v>
      </c>
      <c r="L86" s="16" t="s">
        <v>164</v>
      </c>
      <c r="M86" s="16">
        <v>-1</v>
      </c>
      <c r="N86" s="14">
        <v>79</v>
      </c>
      <c r="O86" s="14">
        <v>131</v>
      </c>
      <c r="P86" s="14">
        <v>105</v>
      </c>
      <c r="Q86" s="14">
        <v>27</v>
      </c>
      <c r="R86" s="17" t="str">
        <f>IF(Cleaned_DS_jobs!$Q86&lt;10,"little_age_company",IF(AND(Cleaned_DS_jobs!$Q86&gt;=10,Cleaned_DS_jobs!$Q86&lt;=20),"average_age_company","Big_age_company"))</f>
        <v>Big_age_company</v>
      </c>
    </row>
    <row r="87" spans="1:18" ht="19.95" customHeight="1" x14ac:dyDescent="0.3">
      <c r="A87" s="18" t="s">
        <v>1661</v>
      </c>
      <c r="B87" s="19" t="s">
        <v>1706</v>
      </c>
      <c r="C87" s="19">
        <v>4</v>
      </c>
      <c r="D87" s="20" t="s">
        <v>2052</v>
      </c>
      <c r="E87" s="19" t="s">
        <v>143</v>
      </c>
      <c r="F87" s="21" t="s">
        <v>1763</v>
      </c>
      <c r="G87" s="21" t="s">
        <v>20</v>
      </c>
      <c r="H87" s="19">
        <v>2010</v>
      </c>
      <c r="I87" s="21" t="s">
        <v>53</v>
      </c>
      <c r="J87" s="21" t="s">
        <v>123</v>
      </c>
      <c r="K87" s="21" t="s">
        <v>60</v>
      </c>
      <c r="L87" s="21" t="s">
        <v>24</v>
      </c>
      <c r="M87" s="21" t="s">
        <v>386</v>
      </c>
      <c r="N87" s="19">
        <v>79</v>
      </c>
      <c r="O87" s="19">
        <v>131</v>
      </c>
      <c r="P87" s="19">
        <v>105</v>
      </c>
      <c r="Q87" s="19">
        <v>16</v>
      </c>
      <c r="R87" s="22" t="str">
        <f>IF(Cleaned_DS_jobs!$Q87&lt;10,"little_age_company",IF(AND(Cleaned_DS_jobs!$Q87&gt;=10,Cleaned_DS_jobs!$Q87&lt;=20),"average_age_company","Big_age_company"))</f>
        <v>average_age_company</v>
      </c>
    </row>
    <row r="88" spans="1:18" ht="19.95" customHeight="1" x14ac:dyDescent="0.3">
      <c r="A88" s="13" t="s">
        <v>218</v>
      </c>
      <c r="B88" s="14" t="s">
        <v>1706</v>
      </c>
      <c r="C88" s="14">
        <v>2.6</v>
      </c>
      <c r="D88" s="15" t="s">
        <v>2053</v>
      </c>
      <c r="E88" s="14" t="s">
        <v>389</v>
      </c>
      <c r="F88" s="16" t="s">
        <v>1803</v>
      </c>
      <c r="G88" s="16" t="s">
        <v>46</v>
      </c>
      <c r="H88" s="14">
        <v>1971</v>
      </c>
      <c r="I88" s="16" t="s">
        <v>21</v>
      </c>
      <c r="J88" s="16" t="s">
        <v>139</v>
      </c>
      <c r="K88" s="16" t="s">
        <v>140</v>
      </c>
      <c r="L88" s="16" t="s">
        <v>24</v>
      </c>
      <c r="M88" s="16">
        <v>-1</v>
      </c>
      <c r="N88" s="14">
        <v>79</v>
      </c>
      <c r="O88" s="14">
        <v>131</v>
      </c>
      <c r="P88" s="14">
        <v>105</v>
      </c>
      <c r="Q88" s="14">
        <v>55</v>
      </c>
      <c r="R88" s="17" t="str">
        <f>IF(Cleaned_DS_jobs!$Q88&lt;10,"little_age_company",IF(AND(Cleaned_DS_jobs!$Q88&gt;=10,Cleaned_DS_jobs!$Q88&lt;=20),"average_age_company","Big_age_company"))</f>
        <v>Big_age_company</v>
      </c>
    </row>
    <row r="89" spans="1:18" ht="19.95" customHeight="1" x14ac:dyDescent="0.3">
      <c r="A89" s="18" t="s">
        <v>390</v>
      </c>
      <c r="B89" s="19" t="s">
        <v>1706</v>
      </c>
      <c r="C89" s="19">
        <v>4.5</v>
      </c>
      <c r="D89" s="20" t="s">
        <v>2054</v>
      </c>
      <c r="E89" s="19" t="s">
        <v>393</v>
      </c>
      <c r="F89" s="21" t="s">
        <v>1804</v>
      </c>
      <c r="G89" s="21" t="s">
        <v>52</v>
      </c>
      <c r="H89" s="19">
        <v>2003</v>
      </c>
      <c r="I89" s="21" t="s">
        <v>53</v>
      </c>
      <c r="J89" s="21" t="s">
        <v>59</v>
      </c>
      <c r="K89" s="21" t="s">
        <v>60</v>
      </c>
      <c r="L89" s="21" t="s">
        <v>160</v>
      </c>
      <c r="M89" s="21">
        <v>-1</v>
      </c>
      <c r="N89" s="19">
        <v>79</v>
      </c>
      <c r="O89" s="19">
        <v>131</v>
      </c>
      <c r="P89" s="19">
        <v>105</v>
      </c>
      <c r="Q89" s="19">
        <v>23</v>
      </c>
      <c r="R89" s="22" t="str">
        <f>IF(Cleaned_DS_jobs!$Q89&lt;10,"little_age_company",IF(AND(Cleaned_DS_jobs!$Q89&gt;=10,Cleaned_DS_jobs!$Q89&lt;=20),"average_age_company","Big_age_company"))</f>
        <v>Big_age_company</v>
      </c>
    </row>
    <row r="90" spans="1:18" ht="19.95" customHeight="1" x14ac:dyDescent="0.3">
      <c r="A90" s="13" t="s">
        <v>221</v>
      </c>
      <c r="B90" s="14" t="s">
        <v>1706</v>
      </c>
      <c r="C90" s="14">
        <v>4.8</v>
      </c>
      <c r="D90" s="15" t="s">
        <v>2017</v>
      </c>
      <c r="E90" s="14" t="s">
        <v>38</v>
      </c>
      <c r="F90" s="16" t="s">
        <v>1746</v>
      </c>
      <c r="G90" s="16" t="s">
        <v>107</v>
      </c>
      <c r="H90" s="14">
        <v>2012</v>
      </c>
      <c r="I90" s="16" t="s">
        <v>53</v>
      </c>
      <c r="J90" s="16" t="s">
        <v>59</v>
      </c>
      <c r="K90" s="16" t="s">
        <v>60</v>
      </c>
      <c r="L90" s="16" t="s">
        <v>24</v>
      </c>
      <c r="M90" s="16">
        <v>-1</v>
      </c>
      <c r="N90" s="14">
        <v>79</v>
      </c>
      <c r="O90" s="14">
        <v>131</v>
      </c>
      <c r="P90" s="14">
        <v>105</v>
      </c>
      <c r="Q90" s="14">
        <v>14</v>
      </c>
      <c r="R90" s="17" t="str">
        <f>IF(Cleaned_DS_jobs!$Q90&lt;10,"little_age_company",IF(AND(Cleaned_DS_jobs!$Q90&gt;=10,Cleaned_DS_jobs!$Q90&lt;=20),"average_age_company","Big_age_company"))</f>
        <v>average_age_company</v>
      </c>
    </row>
    <row r="91" spans="1:18" ht="19.95" customHeight="1" x14ac:dyDescent="0.3">
      <c r="A91" s="18" t="s">
        <v>26</v>
      </c>
      <c r="B91" s="19" t="s">
        <v>1706</v>
      </c>
      <c r="C91" s="19">
        <v>3.9</v>
      </c>
      <c r="D91" s="20" t="s">
        <v>2055</v>
      </c>
      <c r="E91" s="19" t="s">
        <v>192</v>
      </c>
      <c r="F91" s="21" t="s">
        <v>1753</v>
      </c>
      <c r="G91" s="21" t="s">
        <v>66</v>
      </c>
      <c r="H91" s="19">
        <v>1911</v>
      </c>
      <c r="I91" s="21" t="s">
        <v>53</v>
      </c>
      <c r="J91" s="21" t="s">
        <v>397</v>
      </c>
      <c r="K91" s="21" t="s">
        <v>48</v>
      </c>
      <c r="L91" s="21" t="s">
        <v>68</v>
      </c>
      <c r="M91" s="21">
        <v>-1</v>
      </c>
      <c r="N91" s="19">
        <v>79</v>
      </c>
      <c r="O91" s="19">
        <v>131</v>
      </c>
      <c r="P91" s="19">
        <v>105</v>
      </c>
      <c r="Q91" s="19">
        <v>115</v>
      </c>
      <c r="R91" s="22" t="str">
        <f>IF(Cleaned_DS_jobs!$Q91&lt;10,"little_age_company",IF(AND(Cleaned_DS_jobs!$Q91&gt;=10,Cleaned_DS_jobs!$Q91&lt;=20),"average_age_company","Big_age_company"))</f>
        <v>Big_age_company</v>
      </c>
    </row>
    <row r="92" spans="1:18" ht="19.95" customHeight="1" x14ac:dyDescent="0.3">
      <c r="A92" s="13" t="s">
        <v>398</v>
      </c>
      <c r="B92" s="14" t="s">
        <v>1706</v>
      </c>
      <c r="C92" s="14">
        <v>4</v>
      </c>
      <c r="D92" s="15" t="s">
        <v>2047</v>
      </c>
      <c r="E92" s="14" t="s">
        <v>366</v>
      </c>
      <c r="F92" s="16" t="s">
        <v>1799</v>
      </c>
      <c r="G92" s="16" t="s">
        <v>66</v>
      </c>
      <c r="H92" s="14">
        <v>1913</v>
      </c>
      <c r="I92" s="16" t="s">
        <v>32</v>
      </c>
      <c r="J92" s="16" t="s">
        <v>67</v>
      </c>
      <c r="K92" s="16" t="s">
        <v>67</v>
      </c>
      <c r="L92" s="16" t="s">
        <v>68</v>
      </c>
      <c r="M92" s="16" t="s">
        <v>368</v>
      </c>
      <c r="N92" s="14">
        <v>79</v>
      </c>
      <c r="O92" s="14">
        <v>131</v>
      </c>
      <c r="P92" s="14">
        <v>105</v>
      </c>
      <c r="Q92" s="14">
        <v>113</v>
      </c>
      <c r="R92" s="17" t="str">
        <f>IF(Cleaned_DS_jobs!$Q92&lt;10,"little_age_company",IF(AND(Cleaned_DS_jobs!$Q92&gt;=10,Cleaned_DS_jobs!$Q92&lt;=20),"average_age_company","Big_age_company"))</f>
        <v>Big_age_company</v>
      </c>
    </row>
    <row r="93" spans="1:18" ht="19.95" customHeight="1" x14ac:dyDescent="0.3">
      <c r="A93" s="18" t="s">
        <v>221</v>
      </c>
      <c r="B93" s="19" t="s">
        <v>1706</v>
      </c>
      <c r="C93" s="19">
        <v>4.4000000000000004</v>
      </c>
      <c r="D93" s="20" t="s">
        <v>2056</v>
      </c>
      <c r="E93" s="19" t="s">
        <v>402</v>
      </c>
      <c r="F93" s="21" t="s">
        <v>1753</v>
      </c>
      <c r="G93" s="21" t="s">
        <v>52</v>
      </c>
      <c r="H93" s="19">
        <v>1999</v>
      </c>
      <c r="I93" s="21" t="s">
        <v>53</v>
      </c>
      <c r="J93" s="21" t="s">
        <v>92</v>
      </c>
      <c r="K93" s="21" t="s">
        <v>60</v>
      </c>
      <c r="L93" s="21" t="s">
        <v>403</v>
      </c>
      <c r="M93" s="21">
        <v>-1</v>
      </c>
      <c r="N93" s="19">
        <v>79</v>
      </c>
      <c r="O93" s="19">
        <v>131</v>
      </c>
      <c r="P93" s="19">
        <v>105</v>
      </c>
      <c r="Q93" s="19">
        <v>27</v>
      </c>
      <c r="R93" s="22" t="str">
        <f>IF(Cleaned_DS_jobs!$Q93&lt;10,"little_age_company",IF(AND(Cleaned_DS_jobs!$Q93&gt;=10,Cleaned_DS_jobs!$Q93&lt;=20),"average_age_company","Big_age_company"))</f>
        <v>Big_age_company</v>
      </c>
    </row>
    <row r="94" spans="1:18" ht="19.95" customHeight="1" x14ac:dyDescent="0.3">
      <c r="A94" s="13" t="s">
        <v>240</v>
      </c>
      <c r="B94" s="14" t="s">
        <v>1706</v>
      </c>
      <c r="C94" s="14">
        <v>4.2</v>
      </c>
      <c r="D94" s="15" t="s">
        <v>1974</v>
      </c>
      <c r="E94" s="14" t="s">
        <v>405</v>
      </c>
      <c r="F94" s="16" t="s">
        <v>1745</v>
      </c>
      <c r="G94" s="16" t="s">
        <v>31</v>
      </c>
      <c r="H94" s="14">
        <v>1968</v>
      </c>
      <c r="I94" s="16" t="s">
        <v>32</v>
      </c>
      <c r="J94" s="16" t="s">
        <v>33</v>
      </c>
      <c r="K94" s="16" t="s">
        <v>34</v>
      </c>
      <c r="L94" s="16" t="s">
        <v>35</v>
      </c>
      <c r="M94" s="16">
        <v>-1</v>
      </c>
      <c r="N94" s="14">
        <v>79</v>
      </c>
      <c r="O94" s="14">
        <v>131</v>
      </c>
      <c r="P94" s="14">
        <v>105</v>
      </c>
      <c r="Q94" s="14">
        <v>58</v>
      </c>
      <c r="R94" s="17" t="str">
        <f>IF(Cleaned_DS_jobs!$Q94&lt;10,"little_age_company",IF(AND(Cleaned_DS_jobs!$Q94&gt;=10,Cleaned_DS_jobs!$Q94&lt;=20),"average_age_company","Big_age_company"))</f>
        <v>Big_age_company</v>
      </c>
    </row>
    <row r="95" spans="1:18" ht="19.95" customHeight="1" x14ac:dyDescent="0.3">
      <c r="A95" s="18" t="s">
        <v>406</v>
      </c>
      <c r="B95" s="19" t="s">
        <v>1706</v>
      </c>
      <c r="C95" s="19">
        <v>3.6</v>
      </c>
      <c r="D95" s="20" t="s">
        <v>2057</v>
      </c>
      <c r="E95" s="19" t="s">
        <v>409</v>
      </c>
      <c r="F95" s="21" t="s">
        <v>1805</v>
      </c>
      <c r="G95" s="21" t="s">
        <v>107</v>
      </c>
      <c r="H95" s="19">
        <v>1997</v>
      </c>
      <c r="I95" s="21" t="s">
        <v>53</v>
      </c>
      <c r="J95" s="21" t="s">
        <v>411</v>
      </c>
      <c r="K95" s="21" t="s">
        <v>170</v>
      </c>
      <c r="L95" s="21" t="s">
        <v>24</v>
      </c>
      <c r="M95" s="21">
        <v>-1</v>
      </c>
      <c r="N95" s="19">
        <v>79</v>
      </c>
      <c r="O95" s="19">
        <v>131</v>
      </c>
      <c r="P95" s="19">
        <v>105</v>
      </c>
      <c r="Q95" s="19">
        <v>29</v>
      </c>
      <c r="R95" s="22" t="str">
        <f>IF(Cleaned_DS_jobs!$Q95&lt;10,"little_age_company",IF(AND(Cleaned_DS_jobs!$Q95&gt;=10,Cleaned_DS_jobs!$Q95&lt;=20),"average_age_company","Big_age_company"))</f>
        <v>Big_age_company</v>
      </c>
    </row>
    <row r="96" spans="1:18" ht="19.95" customHeight="1" x14ac:dyDescent="0.3">
      <c r="A96" s="13" t="s">
        <v>26</v>
      </c>
      <c r="B96" s="14" t="s">
        <v>1707</v>
      </c>
      <c r="C96" s="14">
        <v>3.4</v>
      </c>
      <c r="D96" s="15" t="s">
        <v>1987</v>
      </c>
      <c r="E96" s="14" t="s">
        <v>111</v>
      </c>
      <c r="F96" s="16" t="s">
        <v>1757</v>
      </c>
      <c r="G96" s="16" t="s">
        <v>20</v>
      </c>
      <c r="H96" s="14">
        <v>1986</v>
      </c>
      <c r="I96" s="16" t="s">
        <v>53</v>
      </c>
      <c r="J96" s="16" t="s">
        <v>40</v>
      </c>
      <c r="K96" s="16" t="s">
        <v>34</v>
      </c>
      <c r="L96" s="16" t="s">
        <v>41</v>
      </c>
      <c r="M96" s="16">
        <v>-1</v>
      </c>
      <c r="N96" s="14">
        <v>99</v>
      </c>
      <c r="O96" s="14">
        <v>132</v>
      </c>
      <c r="P96" s="14">
        <v>115.5</v>
      </c>
      <c r="Q96" s="14">
        <v>40</v>
      </c>
      <c r="R96" s="17" t="str">
        <f>IF(Cleaned_DS_jobs!$Q96&lt;10,"little_age_company",IF(AND(Cleaned_DS_jobs!$Q96&gt;=10,Cleaned_DS_jobs!$Q96&lt;=20),"average_age_company","Big_age_company"))</f>
        <v>Big_age_company</v>
      </c>
    </row>
    <row r="97" spans="1:18" ht="19.95" customHeight="1" x14ac:dyDescent="0.3">
      <c r="A97" s="18" t="s">
        <v>74</v>
      </c>
      <c r="B97" s="19" t="s">
        <v>1707</v>
      </c>
      <c r="C97" s="19">
        <v>4.4000000000000004</v>
      </c>
      <c r="D97" s="20" t="s">
        <v>1981</v>
      </c>
      <c r="E97" s="19" t="s">
        <v>77</v>
      </c>
      <c r="F97" s="21" t="s">
        <v>1751</v>
      </c>
      <c r="G97" s="21" t="s">
        <v>31</v>
      </c>
      <c r="H97" s="19">
        <v>1983</v>
      </c>
      <c r="I97" s="21" t="s">
        <v>32</v>
      </c>
      <c r="J97" s="21" t="s">
        <v>59</v>
      </c>
      <c r="K97" s="21" t="s">
        <v>60</v>
      </c>
      <c r="L97" s="21" t="s">
        <v>79</v>
      </c>
      <c r="M97" s="21" t="s">
        <v>80</v>
      </c>
      <c r="N97" s="19">
        <v>99</v>
      </c>
      <c r="O97" s="19">
        <v>132</v>
      </c>
      <c r="P97" s="19">
        <v>115.5</v>
      </c>
      <c r="Q97" s="19">
        <v>43</v>
      </c>
      <c r="R97" s="22" t="str">
        <f>IF(Cleaned_DS_jobs!$Q97&lt;10,"little_age_company",IF(AND(Cleaned_DS_jobs!$Q97&gt;=10,Cleaned_DS_jobs!$Q97&lt;=20),"average_age_company","Big_age_company"))</f>
        <v>Big_age_company</v>
      </c>
    </row>
    <row r="98" spans="1:18" ht="19.95" customHeight="1" x14ac:dyDescent="0.3">
      <c r="A98" s="13" t="s">
        <v>268</v>
      </c>
      <c r="B98" s="14" t="s">
        <v>1707</v>
      </c>
      <c r="C98" s="14">
        <v>3.5</v>
      </c>
      <c r="D98" s="15" t="s">
        <v>2058</v>
      </c>
      <c r="E98" s="14" t="s">
        <v>415</v>
      </c>
      <c r="F98" s="16" t="s">
        <v>1806</v>
      </c>
      <c r="G98" s="16" t="s">
        <v>52</v>
      </c>
      <c r="H98" s="14">
        <v>2015</v>
      </c>
      <c r="I98" s="16" t="s">
        <v>53</v>
      </c>
      <c r="J98" s="16" t="s">
        <v>84</v>
      </c>
      <c r="K98" s="16" t="s">
        <v>60</v>
      </c>
      <c r="L98" s="16" t="s">
        <v>160</v>
      </c>
      <c r="M98" s="16">
        <v>-1</v>
      </c>
      <c r="N98" s="14">
        <v>99</v>
      </c>
      <c r="O98" s="14">
        <v>132</v>
      </c>
      <c r="P98" s="14">
        <v>115.5</v>
      </c>
      <c r="Q98" s="14">
        <v>11</v>
      </c>
      <c r="R98" s="17" t="str">
        <f>IF(Cleaned_DS_jobs!$Q98&lt;10,"little_age_company",IF(AND(Cleaned_DS_jobs!$Q98&gt;=10,Cleaned_DS_jobs!$Q98&lt;=20),"average_age_company","Big_age_company"))</f>
        <v>average_age_company</v>
      </c>
    </row>
    <row r="99" spans="1:18" ht="19.95" customHeight="1" x14ac:dyDescent="0.3">
      <c r="A99" s="18" t="s">
        <v>1662</v>
      </c>
      <c r="B99" s="19" t="s">
        <v>1707</v>
      </c>
      <c r="C99" s="19">
        <v>3.9</v>
      </c>
      <c r="D99" s="20" t="s">
        <v>2055</v>
      </c>
      <c r="E99" s="19" t="s">
        <v>19</v>
      </c>
      <c r="F99" s="21" t="s">
        <v>1753</v>
      </c>
      <c r="G99" s="21" t="s">
        <v>66</v>
      </c>
      <c r="H99" s="19">
        <v>1911</v>
      </c>
      <c r="I99" s="21" t="s">
        <v>53</v>
      </c>
      <c r="J99" s="21" t="s">
        <v>397</v>
      </c>
      <c r="K99" s="21" t="s">
        <v>48</v>
      </c>
      <c r="L99" s="21" t="s">
        <v>68</v>
      </c>
      <c r="M99" s="21">
        <v>-1</v>
      </c>
      <c r="N99" s="19">
        <v>99</v>
      </c>
      <c r="O99" s="19">
        <v>132</v>
      </c>
      <c r="P99" s="19">
        <v>115.5</v>
      </c>
      <c r="Q99" s="19">
        <v>115</v>
      </c>
      <c r="R99" s="22" t="str">
        <f>IF(Cleaned_DS_jobs!$Q99&lt;10,"little_age_company",IF(AND(Cleaned_DS_jobs!$Q99&gt;=10,Cleaned_DS_jobs!$Q99&lt;=20),"average_age_company","Big_age_company"))</f>
        <v>Big_age_company</v>
      </c>
    </row>
    <row r="100" spans="1:18" ht="19.95" customHeight="1" x14ac:dyDescent="0.3">
      <c r="A100" s="13" t="s">
        <v>240</v>
      </c>
      <c r="B100" s="14" t="s">
        <v>1707</v>
      </c>
      <c r="C100" s="14">
        <v>3.8</v>
      </c>
      <c r="D100" s="15" t="s">
        <v>2059</v>
      </c>
      <c r="E100" s="14" t="s">
        <v>420</v>
      </c>
      <c r="F100" s="16" t="s">
        <v>1807</v>
      </c>
      <c r="G100" s="16" t="s">
        <v>52</v>
      </c>
      <c r="H100" s="14">
        <v>2009</v>
      </c>
      <c r="I100" s="16" t="s">
        <v>53</v>
      </c>
      <c r="J100" s="16" t="s">
        <v>54</v>
      </c>
      <c r="K100" s="16" t="s">
        <v>34</v>
      </c>
      <c r="L100" s="16" t="s">
        <v>160</v>
      </c>
      <c r="M100" s="16" t="s">
        <v>421</v>
      </c>
      <c r="N100" s="14">
        <v>99</v>
      </c>
      <c r="O100" s="14">
        <v>132</v>
      </c>
      <c r="P100" s="14">
        <v>115.5</v>
      </c>
      <c r="Q100" s="14">
        <v>17</v>
      </c>
      <c r="R100" s="17" t="str">
        <f>IF(Cleaned_DS_jobs!$Q100&lt;10,"little_age_company",IF(AND(Cleaned_DS_jobs!$Q100&gt;=10,Cleaned_DS_jobs!$Q100&lt;=20),"average_age_company","Big_age_company"))</f>
        <v>average_age_company</v>
      </c>
    </row>
    <row r="101" spans="1:18" ht="19.95" customHeight="1" x14ac:dyDescent="0.3">
      <c r="A101" s="18" t="s">
        <v>422</v>
      </c>
      <c r="B101" s="19" t="s">
        <v>1707</v>
      </c>
      <c r="C101" s="19">
        <v>3.5</v>
      </c>
      <c r="D101" s="20" t="s">
        <v>2060</v>
      </c>
      <c r="E101" s="19" t="s">
        <v>111</v>
      </c>
      <c r="F101" s="21" t="s">
        <v>1759</v>
      </c>
      <c r="G101" s="21" t="s">
        <v>20</v>
      </c>
      <c r="H101" s="19">
        <v>1959</v>
      </c>
      <c r="I101" s="21" t="s">
        <v>425</v>
      </c>
      <c r="J101" s="21" t="s">
        <v>411</v>
      </c>
      <c r="K101" s="21" t="s">
        <v>170</v>
      </c>
      <c r="L101" s="21" t="s">
        <v>68</v>
      </c>
      <c r="M101" s="21" t="s">
        <v>426</v>
      </c>
      <c r="N101" s="19">
        <v>99</v>
      </c>
      <c r="O101" s="19">
        <v>132</v>
      </c>
      <c r="P101" s="19">
        <v>115.5</v>
      </c>
      <c r="Q101" s="19">
        <v>67</v>
      </c>
      <c r="R101" s="22" t="str">
        <f>IF(Cleaned_DS_jobs!$Q101&lt;10,"little_age_company",IF(AND(Cleaned_DS_jobs!$Q101&gt;=10,Cleaned_DS_jobs!$Q101&lt;=20),"average_age_company","Big_age_company"))</f>
        <v>Big_age_company</v>
      </c>
    </row>
    <row r="102" spans="1:18" ht="19.95" customHeight="1" x14ac:dyDescent="0.3">
      <c r="A102" s="13" t="s">
        <v>26</v>
      </c>
      <c r="B102" s="14" t="s">
        <v>1707</v>
      </c>
      <c r="C102" s="14">
        <v>4.9000000000000004</v>
      </c>
      <c r="D102" s="15" t="s">
        <v>2061</v>
      </c>
      <c r="E102" s="14" t="s">
        <v>429</v>
      </c>
      <c r="F102" s="16" t="s">
        <v>1808</v>
      </c>
      <c r="G102" s="16" t="s">
        <v>117</v>
      </c>
      <c r="H102" s="14">
        <v>2013</v>
      </c>
      <c r="I102" s="16" t="s">
        <v>53</v>
      </c>
      <c r="J102" s="16" t="s">
        <v>84</v>
      </c>
      <c r="K102" s="16" t="s">
        <v>60</v>
      </c>
      <c r="L102" s="16" t="s">
        <v>431</v>
      </c>
      <c r="M102" s="16">
        <v>-1</v>
      </c>
      <c r="N102" s="14">
        <v>99</v>
      </c>
      <c r="O102" s="14">
        <v>132</v>
      </c>
      <c r="P102" s="14">
        <v>115.5</v>
      </c>
      <c r="Q102" s="14">
        <v>13</v>
      </c>
      <c r="R102" s="17" t="str">
        <f>IF(Cleaned_DS_jobs!$Q102&lt;10,"little_age_company",IF(AND(Cleaned_DS_jobs!$Q102&gt;=10,Cleaned_DS_jobs!$Q102&lt;=20),"average_age_company","Big_age_company"))</f>
        <v>average_age_company</v>
      </c>
    </row>
    <row r="103" spans="1:18" ht="19.95" customHeight="1" x14ac:dyDescent="0.3">
      <c r="A103" s="18" t="s">
        <v>221</v>
      </c>
      <c r="B103" s="19" t="s">
        <v>1707</v>
      </c>
      <c r="C103" s="19">
        <v>4.4000000000000004</v>
      </c>
      <c r="D103" s="20" t="s">
        <v>2062</v>
      </c>
      <c r="E103" s="19" t="s">
        <v>434</v>
      </c>
      <c r="F103" s="21" t="s">
        <v>1809</v>
      </c>
      <c r="G103" s="21" t="s">
        <v>117</v>
      </c>
      <c r="H103" s="19">
        <v>2007</v>
      </c>
      <c r="I103" s="21" t="s">
        <v>53</v>
      </c>
      <c r="J103" s="21" t="s">
        <v>175</v>
      </c>
      <c r="K103" s="21" t="s">
        <v>175</v>
      </c>
      <c r="L103" s="21" t="s">
        <v>24</v>
      </c>
      <c r="M103" s="21">
        <v>-1</v>
      </c>
      <c r="N103" s="19">
        <v>99</v>
      </c>
      <c r="O103" s="19">
        <v>132</v>
      </c>
      <c r="P103" s="19">
        <v>115.5</v>
      </c>
      <c r="Q103" s="19">
        <v>19</v>
      </c>
      <c r="R103" s="22" t="str">
        <f>IF(Cleaned_DS_jobs!$Q103&lt;10,"little_age_company",IF(AND(Cleaned_DS_jobs!$Q103&gt;=10,Cleaned_DS_jobs!$Q103&lt;=20),"average_age_company","Big_age_company"))</f>
        <v>average_age_company</v>
      </c>
    </row>
    <row r="104" spans="1:18" ht="19.95" customHeight="1" x14ac:dyDescent="0.3">
      <c r="A104" s="13" t="s">
        <v>435</v>
      </c>
      <c r="B104" s="14" t="s">
        <v>1707</v>
      </c>
      <c r="C104" s="14">
        <v>4.0999999999999996</v>
      </c>
      <c r="D104" s="15" t="s">
        <v>2063</v>
      </c>
      <c r="E104" s="14" t="s">
        <v>58</v>
      </c>
      <c r="F104" s="16" t="s">
        <v>1810</v>
      </c>
      <c r="G104" s="16" t="s">
        <v>52</v>
      </c>
      <c r="H104" s="14">
        <v>2012</v>
      </c>
      <c r="I104" s="16" t="s">
        <v>53</v>
      </c>
      <c r="J104" s="16" t="s">
        <v>123</v>
      </c>
      <c r="K104" s="16" t="s">
        <v>60</v>
      </c>
      <c r="L104" s="16" t="s">
        <v>24</v>
      </c>
      <c r="M104" s="16">
        <v>-1</v>
      </c>
      <c r="N104" s="14">
        <v>99</v>
      </c>
      <c r="O104" s="14">
        <v>132</v>
      </c>
      <c r="P104" s="14">
        <v>115.5</v>
      </c>
      <c r="Q104" s="14">
        <v>14</v>
      </c>
      <c r="R104" s="17" t="str">
        <f>IF(Cleaned_DS_jobs!$Q104&lt;10,"little_age_company",IF(AND(Cleaned_DS_jobs!$Q104&gt;=10,Cleaned_DS_jobs!$Q104&lt;=20),"average_age_company","Big_age_company"))</f>
        <v>average_age_company</v>
      </c>
    </row>
    <row r="105" spans="1:18" ht="19.95" customHeight="1" x14ac:dyDescent="0.3">
      <c r="A105" s="18" t="s">
        <v>240</v>
      </c>
      <c r="B105" s="19" t="s">
        <v>1707</v>
      </c>
      <c r="C105" s="19">
        <v>4</v>
      </c>
      <c r="D105" s="20" t="s">
        <v>2040</v>
      </c>
      <c r="E105" s="19" t="s">
        <v>143</v>
      </c>
      <c r="F105" s="21" t="s">
        <v>1792</v>
      </c>
      <c r="G105" s="21" t="s">
        <v>31</v>
      </c>
      <c r="H105" s="19">
        <v>1982</v>
      </c>
      <c r="I105" s="21" t="s">
        <v>32</v>
      </c>
      <c r="J105" s="21" t="s">
        <v>59</v>
      </c>
      <c r="K105" s="21" t="s">
        <v>60</v>
      </c>
      <c r="L105" s="21" t="s">
        <v>79</v>
      </c>
      <c r="M105" s="21">
        <v>-1</v>
      </c>
      <c r="N105" s="19">
        <v>99</v>
      </c>
      <c r="O105" s="19">
        <v>132</v>
      </c>
      <c r="P105" s="19">
        <v>115.5</v>
      </c>
      <c r="Q105" s="19">
        <v>44</v>
      </c>
      <c r="R105" s="22" t="str">
        <f>IF(Cleaned_DS_jobs!$Q105&lt;10,"little_age_company",IF(AND(Cleaned_DS_jobs!$Q105&gt;=10,Cleaned_DS_jobs!$Q105&lt;=20),"average_age_company","Big_age_company"))</f>
        <v>Big_age_company</v>
      </c>
    </row>
    <row r="106" spans="1:18" ht="19.95" customHeight="1" x14ac:dyDescent="0.3">
      <c r="A106" s="13" t="s">
        <v>440</v>
      </c>
      <c r="B106" s="14" t="s">
        <v>1707</v>
      </c>
      <c r="C106" s="14">
        <v>4.4000000000000004</v>
      </c>
      <c r="D106" s="15" t="s">
        <v>1981</v>
      </c>
      <c r="E106" s="14" t="s">
        <v>77</v>
      </c>
      <c r="F106" s="16" t="s">
        <v>1751</v>
      </c>
      <c r="G106" s="16" t="s">
        <v>31</v>
      </c>
      <c r="H106" s="14">
        <v>1983</v>
      </c>
      <c r="I106" s="16" t="s">
        <v>32</v>
      </c>
      <c r="J106" s="16" t="s">
        <v>59</v>
      </c>
      <c r="K106" s="16" t="s">
        <v>60</v>
      </c>
      <c r="L106" s="16" t="s">
        <v>79</v>
      </c>
      <c r="M106" s="16" t="s">
        <v>80</v>
      </c>
      <c r="N106" s="14">
        <v>99</v>
      </c>
      <c r="O106" s="14">
        <v>132</v>
      </c>
      <c r="P106" s="14">
        <v>115.5</v>
      </c>
      <c r="Q106" s="14">
        <v>43</v>
      </c>
      <c r="R106" s="17" t="str">
        <f>IF(Cleaned_DS_jobs!$Q106&lt;10,"little_age_company",IF(AND(Cleaned_DS_jobs!$Q106&gt;=10,Cleaned_DS_jobs!$Q106&lt;=20),"average_age_company","Big_age_company"))</f>
        <v>Big_age_company</v>
      </c>
    </row>
    <row r="107" spans="1:18" ht="19.95" customHeight="1" x14ac:dyDescent="0.3">
      <c r="A107" s="18" t="s">
        <v>26</v>
      </c>
      <c r="B107" s="19" t="s">
        <v>1707</v>
      </c>
      <c r="C107" s="19">
        <v>3.8</v>
      </c>
      <c r="D107" s="20" t="s">
        <v>2064</v>
      </c>
      <c r="E107" s="19" t="s">
        <v>444</v>
      </c>
      <c r="F107" s="21" t="s">
        <v>1811</v>
      </c>
      <c r="G107" s="21" t="s">
        <v>46</v>
      </c>
      <c r="H107" s="19">
        <v>1973</v>
      </c>
      <c r="I107" s="21" t="s">
        <v>53</v>
      </c>
      <c r="J107" s="21" t="s">
        <v>175</v>
      </c>
      <c r="K107" s="21" t="s">
        <v>175</v>
      </c>
      <c r="L107" s="21" t="s">
        <v>194</v>
      </c>
      <c r="M107" s="21">
        <v>-1</v>
      </c>
      <c r="N107" s="19">
        <v>99</v>
      </c>
      <c r="O107" s="19">
        <v>132</v>
      </c>
      <c r="P107" s="19">
        <v>115.5</v>
      </c>
      <c r="Q107" s="19">
        <v>53</v>
      </c>
      <c r="R107" s="22" t="str">
        <f>IF(Cleaned_DS_jobs!$Q107&lt;10,"little_age_company",IF(AND(Cleaned_DS_jobs!$Q107&gt;=10,Cleaned_DS_jobs!$Q107&lt;=20),"average_age_company","Big_age_company"))</f>
        <v>Big_age_company</v>
      </c>
    </row>
    <row r="108" spans="1:18" ht="19.95" customHeight="1" x14ac:dyDescent="0.3">
      <c r="A108" s="13" t="s">
        <v>1663</v>
      </c>
      <c r="B108" s="14" t="s">
        <v>1707</v>
      </c>
      <c r="C108" s="14">
        <v>3.2</v>
      </c>
      <c r="D108" s="15" t="s">
        <v>2065</v>
      </c>
      <c r="E108" s="14" t="s">
        <v>449</v>
      </c>
      <c r="F108" s="16" t="s">
        <v>1812</v>
      </c>
      <c r="G108" s="16" t="s">
        <v>46</v>
      </c>
      <c r="H108" s="14">
        <v>1981</v>
      </c>
      <c r="I108" s="16" t="s">
        <v>32</v>
      </c>
      <c r="J108" s="16" t="s">
        <v>139</v>
      </c>
      <c r="K108" s="16" t="s">
        <v>140</v>
      </c>
      <c r="L108" s="16" t="s">
        <v>24</v>
      </c>
      <c r="M108" s="16">
        <v>-1</v>
      </c>
      <c r="N108" s="14">
        <v>99</v>
      </c>
      <c r="O108" s="14">
        <v>132</v>
      </c>
      <c r="P108" s="14">
        <v>115.5</v>
      </c>
      <c r="Q108" s="14">
        <v>45</v>
      </c>
      <c r="R108" s="17" t="str">
        <f>IF(Cleaned_DS_jobs!$Q108&lt;10,"little_age_company",IF(AND(Cleaned_DS_jobs!$Q108&gt;=10,Cleaned_DS_jobs!$Q108&lt;=20),"average_age_company","Big_age_company"))</f>
        <v>Big_age_company</v>
      </c>
    </row>
    <row r="109" spans="1:18" ht="19.95" customHeight="1" x14ac:dyDescent="0.3">
      <c r="A109" s="18" t="s">
        <v>189</v>
      </c>
      <c r="B109" s="19" t="s">
        <v>1707</v>
      </c>
      <c r="C109" s="19">
        <v>2.9</v>
      </c>
      <c r="D109" s="20" t="s">
        <v>2066</v>
      </c>
      <c r="E109" s="19" t="s">
        <v>453</v>
      </c>
      <c r="F109" s="21" t="s">
        <v>1813</v>
      </c>
      <c r="G109" s="21" t="s">
        <v>52</v>
      </c>
      <c r="H109" s="19">
        <v>2011</v>
      </c>
      <c r="I109" s="21" t="s">
        <v>53</v>
      </c>
      <c r="J109" s="21" t="s">
        <v>67</v>
      </c>
      <c r="K109" s="21" t="s">
        <v>67</v>
      </c>
      <c r="L109" s="21" t="s">
        <v>160</v>
      </c>
      <c r="M109" s="21">
        <v>-1</v>
      </c>
      <c r="N109" s="19">
        <v>99</v>
      </c>
      <c r="O109" s="19">
        <v>132</v>
      </c>
      <c r="P109" s="19">
        <v>115.5</v>
      </c>
      <c r="Q109" s="19">
        <v>15</v>
      </c>
      <c r="R109" s="22" t="str">
        <f>IF(Cleaned_DS_jobs!$Q109&lt;10,"little_age_company",IF(AND(Cleaned_DS_jobs!$Q109&gt;=10,Cleaned_DS_jobs!$Q109&lt;=20),"average_age_company","Big_age_company"))</f>
        <v>average_age_company</v>
      </c>
    </row>
    <row r="110" spans="1:18" ht="19.95" customHeight="1" x14ac:dyDescent="0.3">
      <c r="A110" s="13" t="s">
        <v>454</v>
      </c>
      <c r="B110" s="14" t="s">
        <v>1707</v>
      </c>
      <c r="C110" s="14">
        <v>4.0999999999999996</v>
      </c>
      <c r="D110" s="15" t="s">
        <v>2067</v>
      </c>
      <c r="E110" s="14" t="s">
        <v>77</v>
      </c>
      <c r="F110" s="16" t="s">
        <v>1777</v>
      </c>
      <c r="G110" s="16" t="s">
        <v>66</v>
      </c>
      <c r="H110" s="14">
        <v>1939</v>
      </c>
      <c r="I110" s="16" t="s">
        <v>32</v>
      </c>
      <c r="J110" s="16" t="s">
        <v>59</v>
      </c>
      <c r="K110" s="16" t="s">
        <v>60</v>
      </c>
      <c r="L110" s="16" t="s">
        <v>24</v>
      </c>
      <c r="M110" s="16">
        <v>-1</v>
      </c>
      <c r="N110" s="14">
        <v>99</v>
      </c>
      <c r="O110" s="14">
        <v>132</v>
      </c>
      <c r="P110" s="14">
        <v>115.5</v>
      </c>
      <c r="Q110" s="14">
        <v>87</v>
      </c>
      <c r="R110" s="17" t="str">
        <f>IF(Cleaned_DS_jobs!$Q110&lt;10,"little_age_company",IF(AND(Cleaned_DS_jobs!$Q110&gt;=10,Cleaned_DS_jobs!$Q110&lt;=20),"average_age_company","Big_age_company"))</f>
        <v>Big_age_company</v>
      </c>
    </row>
    <row r="111" spans="1:18" ht="19.95" customHeight="1" x14ac:dyDescent="0.3">
      <c r="A111" s="18" t="s">
        <v>26</v>
      </c>
      <c r="B111" s="19" t="s">
        <v>1707</v>
      </c>
      <c r="C111" s="19">
        <v>3.7</v>
      </c>
      <c r="D111" s="20" t="s">
        <v>2068</v>
      </c>
      <c r="E111" s="19" t="s">
        <v>29</v>
      </c>
      <c r="F111" s="21" t="s">
        <v>1806</v>
      </c>
      <c r="G111" s="21" t="s">
        <v>66</v>
      </c>
      <c r="H111" s="19">
        <v>2013</v>
      </c>
      <c r="I111" s="21" t="s">
        <v>32</v>
      </c>
      <c r="J111" s="21" t="s">
        <v>84</v>
      </c>
      <c r="K111" s="21" t="s">
        <v>60</v>
      </c>
      <c r="L111" s="21" t="s">
        <v>403</v>
      </c>
      <c r="M111" s="21" t="s">
        <v>459</v>
      </c>
      <c r="N111" s="19">
        <v>99</v>
      </c>
      <c r="O111" s="19">
        <v>132</v>
      </c>
      <c r="P111" s="19">
        <v>115.5</v>
      </c>
      <c r="Q111" s="19">
        <v>13</v>
      </c>
      <c r="R111" s="22" t="str">
        <f>IF(Cleaned_DS_jobs!$Q111&lt;10,"little_age_company",IF(AND(Cleaned_DS_jobs!$Q111&gt;=10,Cleaned_DS_jobs!$Q111&lt;=20),"average_age_company","Big_age_company"))</f>
        <v>average_age_company</v>
      </c>
    </row>
    <row r="112" spans="1:18" ht="19.95" customHeight="1" x14ac:dyDescent="0.3">
      <c r="A112" s="13" t="s">
        <v>1664</v>
      </c>
      <c r="B112" s="14" t="s">
        <v>1707</v>
      </c>
      <c r="C112" s="14">
        <v>3.2</v>
      </c>
      <c r="D112" s="15" t="s">
        <v>2069</v>
      </c>
      <c r="E112" s="14" t="s">
        <v>463</v>
      </c>
      <c r="F112" s="16" t="s">
        <v>1744</v>
      </c>
      <c r="G112" s="16" t="s">
        <v>20</v>
      </c>
      <c r="H112" s="14">
        <v>1967</v>
      </c>
      <c r="I112" s="16" t="s">
        <v>32</v>
      </c>
      <c r="J112" s="16" t="s">
        <v>169</v>
      </c>
      <c r="K112" s="16" t="s">
        <v>170</v>
      </c>
      <c r="L112" s="16" t="s">
        <v>79</v>
      </c>
      <c r="M112" s="16">
        <v>-1</v>
      </c>
      <c r="N112" s="14">
        <v>99</v>
      </c>
      <c r="O112" s="14">
        <v>132</v>
      </c>
      <c r="P112" s="14">
        <v>115.5</v>
      </c>
      <c r="Q112" s="14">
        <v>59</v>
      </c>
      <c r="R112" s="17" t="str">
        <f>IF(Cleaned_DS_jobs!$Q112&lt;10,"little_age_company",IF(AND(Cleaned_DS_jobs!$Q112&gt;=10,Cleaned_DS_jobs!$Q112&lt;=20),"average_age_company","Big_age_company"))</f>
        <v>Big_age_company</v>
      </c>
    </row>
    <row r="113" spans="1:18" ht="19.95" customHeight="1" x14ac:dyDescent="0.3">
      <c r="A113" s="18" t="s">
        <v>218</v>
      </c>
      <c r="B113" s="19" t="s">
        <v>1707</v>
      </c>
      <c r="C113" s="19">
        <v>4.9000000000000004</v>
      </c>
      <c r="D113" s="20" t="s">
        <v>2070</v>
      </c>
      <c r="E113" s="19" t="s">
        <v>466</v>
      </c>
      <c r="F113" s="21" t="s">
        <v>1814</v>
      </c>
      <c r="G113" s="21" t="s">
        <v>52</v>
      </c>
      <c r="H113" s="19">
        <v>2013</v>
      </c>
      <c r="I113" s="21" t="s">
        <v>301</v>
      </c>
      <c r="J113" s="21" t="s">
        <v>468</v>
      </c>
      <c r="K113" s="21" t="s">
        <v>469</v>
      </c>
      <c r="L113" s="21" t="s">
        <v>24</v>
      </c>
      <c r="M113" s="21">
        <v>-1</v>
      </c>
      <c r="N113" s="19">
        <v>99</v>
      </c>
      <c r="O113" s="19">
        <v>132</v>
      </c>
      <c r="P113" s="19">
        <v>115.5</v>
      </c>
      <c r="Q113" s="19">
        <v>13</v>
      </c>
      <c r="R113" s="22" t="str">
        <f>IF(Cleaned_DS_jobs!$Q113&lt;10,"little_age_company",IF(AND(Cleaned_DS_jobs!$Q113&gt;=10,Cleaned_DS_jobs!$Q113&lt;=20),"average_age_company","Big_age_company"))</f>
        <v>average_age_company</v>
      </c>
    </row>
    <row r="114" spans="1:18" ht="19.95" customHeight="1" x14ac:dyDescent="0.3">
      <c r="A114" s="13" t="s">
        <v>1665</v>
      </c>
      <c r="B114" s="14" t="s">
        <v>1707</v>
      </c>
      <c r="C114" s="14">
        <v>3.5</v>
      </c>
      <c r="D114" s="15" t="s">
        <v>2071</v>
      </c>
      <c r="E114" s="14" t="s">
        <v>30</v>
      </c>
      <c r="F114" s="16" t="s">
        <v>1815</v>
      </c>
      <c r="G114" s="16" t="s">
        <v>31</v>
      </c>
      <c r="H114" s="14">
        <v>-1</v>
      </c>
      <c r="I114" s="16" t="s">
        <v>32</v>
      </c>
      <c r="J114" s="16" t="s">
        <v>175</v>
      </c>
      <c r="K114" s="16" t="s">
        <v>175</v>
      </c>
      <c r="L114" s="16" t="s">
        <v>79</v>
      </c>
      <c r="M114" s="16">
        <v>-1</v>
      </c>
      <c r="N114" s="14">
        <v>99</v>
      </c>
      <c r="O114" s="14">
        <v>132</v>
      </c>
      <c r="P114" s="14">
        <v>115.5</v>
      </c>
      <c r="Q114" s="14">
        <v>-1</v>
      </c>
      <c r="R114" s="17" t="str">
        <f>IF(Cleaned_DS_jobs!$Q114&lt;10,"little_age_company",IF(AND(Cleaned_DS_jobs!$Q114&gt;=10,Cleaned_DS_jobs!$Q114&lt;=20),"average_age_company","Big_age_company"))</f>
        <v>little_age_company</v>
      </c>
    </row>
    <row r="115" spans="1:18" ht="19.95" customHeight="1" x14ac:dyDescent="0.3">
      <c r="A115" s="18" t="s">
        <v>189</v>
      </c>
      <c r="B115" s="19" t="s">
        <v>1707</v>
      </c>
      <c r="C115" s="19">
        <v>5</v>
      </c>
      <c r="D115" s="20" t="s">
        <v>2072</v>
      </c>
      <c r="E115" s="19" t="s">
        <v>476</v>
      </c>
      <c r="F115" s="21" t="s">
        <v>1816</v>
      </c>
      <c r="G115" s="21" t="s">
        <v>117</v>
      </c>
      <c r="H115" s="19">
        <v>2016</v>
      </c>
      <c r="I115" s="21" t="s">
        <v>53</v>
      </c>
      <c r="J115" s="21" t="s">
        <v>59</v>
      </c>
      <c r="K115" s="21" t="s">
        <v>60</v>
      </c>
      <c r="L115" s="21" t="s">
        <v>24</v>
      </c>
      <c r="M115" s="21">
        <v>-1</v>
      </c>
      <c r="N115" s="19">
        <v>99</v>
      </c>
      <c r="O115" s="19">
        <v>132</v>
      </c>
      <c r="P115" s="19">
        <v>115.5</v>
      </c>
      <c r="Q115" s="19">
        <v>10</v>
      </c>
      <c r="R115" s="22" t="str">
        <f>IF(Cleaned_DS_jobs!$Q115&lt;10,"little_age_company",IF(AND(Cleaned_DS_jobs!$Q115&gt;=10,Cleaned_DS_jobs!$Q115&lt;=20),"average_age_company","Big_age_company"))</f>
        <v>average_age_company</v>
      </c>
    </row>
    <row r="116" spans="1:18" ht="19.95" customHeight="1" x14ac:dyDescent="0.3">
      <c r="A116" s="13" t="s">
        <v>26</v>
      </c>
      <c r="B116" s="14" t="s">
        <v>1707</v>
      </c>
      <c r="C116" s="14">
        <v>4</v>
      </c>
      <c r="D116" s="15" t="s">
        <v>2073</v>
      </c>
      <c r="E116" s="14" t="s">
        <v>415</v>
      </c>
      <c r="F116" s="16" t="s">
        <v>1806</v>
      </c>
      <c r="G116" s="16" t="s">
        <v>20</v>
      </c>
      <c r="H116" s="14">
        <v>1996</v>
      </c>
      <c r="I116" s="16" t="s">
        <v>21</v>
      </c>
      <c r="J116" s="16" t="s">
        <v>40</v>
      </c>
      <c r="K116" s="16" t="s">
        <v>34</v>
      </c>
      <c r="L116" s="16" t="s">
        <v>41</v>
      </c>
      <c r="M116" s="16" t="s">
        <v>479</v>
      </c>
      <c r="N116" s="14">
        <v>99</v>
      </c>
      <c r="O116" s="14">
        <v>132</v>
      </c>
      <c r="P116" s="14">
        <v>115.5</v>
      </c>
      <c r="Q116" s="14">
        <v>30</v>
      </c>
      <c r="R116" s="17" t="str">
        <f>IF(Cleaned_DS_jobs!$Q116&lt;10,"little_age_company",IF(AND(Cleaned_DS_jobs!$Q116&gt;=10,Cleaned_DS_jobs!$Q116&lt;=20),"average_age_company","Big_age_company"))</f>
        <v>Big_age_company</v>
      </c>
    </row>
    <row r="117" spans="1:18" ht="19.95" customHeight="1" x14ac:dyDescent="0.3">
      <c r="A117" s="18" t="s">
        <v>26</v>
      </c>
      <c r="B117" s="19" t="s">
        <v>1707</v>
      </c>
      <c r="C117" s="19">
        <v>3.6</v>
      </c>
      <c r="D117" s="20" t="s">
        <v>2074</v>
      </c>
      <c r="E117" s="19" t="s">
        <v>19</v>
      </c>
      <c r="F117" s="21" t="s">
        <v>1744</v>
      </c>
      <c r="G117" s="21" t="s">
        <v>117</v>
      </c>
      <c r="H117" s="19">
        <v>2016</v>
      </c>
      <c r="I117" s="21" t="s">
        <v>53</v>
      </c>
      <c r="J117" s="21" t="s">
        <v>139</v>
      </c>
      <c r="K117" s="21" t="s">
        <v>140</v>
      </c>
      <c r="L117" s="21" t="s">
        <v>24</v>
      </c>
      <c r="M117" s="21">
        <v>-1</v>
      </c>
      <c r="N117" s="19">
        <v>99</v>
      </c>
      <c r="O117" s="19">
        <v>132</v>
      </c>
      <c r="P117" s="19">
        <v>115.5</v>
      </c>
      <c r="Q117" s="19">
        <v>10</v>
      </c>
      <c r="R117" s="22" t="str">
        <f>IF(Cleaned_DS_jobs!$Q117&lt;10,"little_age_company",IF(AND(Cleaned_DS_jobs!$Q117&gt;=10,Cleaned_DS_jobs!$Q117&lt;=20),"average_age_company","Big_age_company"))</f>
        <v>average_age_company</v>
      </c>
    </row>
    <row r="118" spans="1:18" ht="19.95" customHeight="1" x14ac:dyDescent="0.3">
      <c r="A118" s="13" t="s">
        <v>482</v>
      </c>
      <c r="B118" s="14" t="s">
        <v>1707</v>
      </c>
      <c r="C118" s="14">
        <v>4</v>
      </c>
      <c r="D118" s="15" t="s">
        <v>2075</v>
      </c>
      <c r="E118" s="14" t="s">
        <v>485</v>
      </c>
      <c r="F118" s="16" t="s">
        <v>1817</v>
      </c>
      <c r="G118" s="16" t="s">
        <v>52</v>
      </c>
      <c r="H118" s="14">
        <v>2002</v>
      </c>
      <c r="I118" s="16" t="s">
        <v>53</v>
      </c>
      <c r="J118" s="16" t="s">
        <v>59</v>
      </c>
      <c r="K118" s="16" t="s">
        <v>60</v>
      </c>
      <c r="L118" s="16" t="s">
        <v>403</v>
      </c>
      <c r="M118" s="16">
        <v>-1</v>
      </c>
      <c r="N118" s="14">
        <v>99</v>
      </c>
      <c r="O118" s="14">
        <v>132</v>
      </c>
      <c r="P118" s="14">
        <v>115.5</v>
      </c>
      <c r="Q118" s="14">
        <v>24</v>
      </c>
      <c r="R118" s="17" t="str">
        <f>IF(Cleaned_DS_jobs!$Q118&lt;10,"little_age_company",IF(AND(Cleaned_DS_jobs!$Q118&gt;=10,Cleaned_DS_jobs!$Q118&lt;=20),"average_age_company","Big_age_company"))</f>
        <v>Big_age_company</v>
      </c>
    </row>
    <row r="119" spans="1:18" ht="19.95" customHeight="1" x14ac:dyDescent="0.3">
      <c r="A119" s="18" t="s">
        <v>486</v>
      </c>
      <c r="B119" s="19" t="s">
        <v>1707</v>
      </c>
      <c r="C119" s="19">
        <v>3.2</v>
      </c>
      <c r="D119" s="20" t="s">
        <v>2069</v>
      </c>
      <c r="E119" s="19" t="s">
        <v>463</v>
      </c>
      <c r="F119" s="21" t="s">
        <v>1744</v>
      </c>
      <c r="G119" s="21" t="s">
        <v>20</v>
      </c>
      <c r="H119" s="19">
        <v>1967</v>
      </c>
      <c r="I119" s="21" t="s">
        <v>32</v>
      </c>
      <c r="J119" s="21" t="s">
        <v>169</v>
      </c>
      <c r="K119" s="21" t="s">
        <v>170</v>
      </c>
      <c r="L119" s="21" t="s">
        <v>79</v>
      </c>
      <c r="M119" s="21">
        <v>-1</v>
      </c>
      <c r="N119" s="19">
        <v>99</v>
      </c>
      <c r="O119" s="19">
        <v>132</v>
      </c>
      <c r="P119" s="19">
        <v>115.5</v>
      </c>
      <c r="Q119" s="19">
        <v>59</v>
      </c>
      <c r="R119" s="22" t="str">
        <f>IF(Cleaned_DS_jobs!$Q119&lt;10,"little_age_company",IF(AND(Cleaned_DS_jobs!$Q119&gt;=10,Cleaned_DS_jobs!$Q119&lt;=20),"average_age_company","Big_age_company"))</f>
        <v>Big_age_company</v>
      </c>
    </row>
    <row r="120" spans="1:18" ht="19.95" customHeight="1" x14ac:dyDescent="0.3">
      <c r="A120" s="13" t="s">
        <v>1666</v>
      </c>
      <c r="B120" s="14" t="s">
        <v>1707</v>
      </c>
      <c r="C120" s="14">
        <v>5</v>
      </c>
      <c r="D120" s="15" t="s">
        <v>2014</v>
      </c>
      <c r="E120" s="14" t="s">
        <v>233</v>
      </c>
      <c r="F120" s="16" t="s">
        <v>1776</v>
      </c>
      <c r="G120" s="16" t="s">
        <v>52</v>
      </c>
      <c r="H120" s="14">
        <v>2019</v>
      </c>
      <c r="I120" s="16" t="s">
        <v>53</v>
      </c>
      <c r="J120" s="16" t="s">
        <v>67</v>
      </c>
      <c r="K120" s="16" t="s">
        <v>67</v>
      </c>
      <c r="L120" s="16" t="s">
        <v>24</v>
      </c>
      <c r="M120" s="16">
        <v>-1</v>
      </c>
      <c r="N120" s="14">
        <v>99</v>
      </c>
      <c r="O120" s="14">
        <v>132</v>
      </c>
      <c r="P120" s="14">
        <v>115.5</v>
      </c>
      <c r="Q120" s="14">
        <v>7</v>
      </c>
      <c r="R120" s="17" t="str">
        <f>IF(Cleaned_DS_jobs!$Q120&lt;10,"little_age_company",IF(AND(Cleaned_DS_jobs!$Q120&gt;=10,Cleaned_DS_jobs!$Q120&lt;=20),"average_age_company","Big_age_company"))</f>
        <v>little_age_company</v>
      </c>
    </row>
    <row r="121" spans="1:18" ht="19.95" customHeight="1" x14ac:dyDescent="0.3">
      <c r="A121" s="18" t="s">
        <v>189</v>
      </c>
      <c r="B121" s="19" t="s">
        <v>1707</v>
      </c>
      <c r="C121" s="19">
        <v>4.8</v>
      </c>
      <c r="D121" s="20" t="s">
        <v>2076</v>
      </c>
      <c r="E121" s="19" t="s">
        <v>492</v>
      </c>
      <c r="F121" s="21" t="s">
        <v>1818</v>
      </c>
      <c r="G121" s="21" t="s">
        <v>107</v>
      </c>
      <c r="H121" s="19">
        <v>2000</v>
      </c>
      <c r="I121" s="21" t="s">
        <v>53</v>
      </c>
      <c r="J121" s="21" t="s">
        <v>139</v>
      </c>
      <c r="K121" s="21" t="s">
        <v>140</v>
      </c>
      <c r="L121" s="21" t="s">
        <v>194</v>
      </c>
      <c r="M121" s="21" t="s">
        <v>493</v>
      </c>
      <c r="N121" s="19">
        <v>99</v>
      </c>
      <c r="O121" s="19">
        <v>132</v>
      </c>
      <c r="P121" s="19">
        <v>115.5</v>
      </c>
      <c r="Q121" s="19">
        <v>26</v>
      </c>
      <c r="R121" s="22" t="str">
        <f>IF(Cleaned_DS_jobs!$Q121&lt;10,"little_age_company",IF(AND(Cleaned_DS_jobs!$Q121&gt;=10,Cleaned_DS_jobs!$Q121&lt;=20),"average_age_company","Big_age_company"))</f>
        <v>Big_age_company</v>
      </c>
    </row>
    <row r="122" spans="1:18" ht="19.95" customHeight="1" x14ac:dyDescent="0.3">
      <c r="A122" s="13" t="s">
        <v>26</v>
      </c>
      <c r="B122" s="14" t="s">
        <v>1707</v>
      </c>
      <c r="C122" s="14">
        <v>4.5</v>
      </c>
      <c r="D122" s="15" t="s">
        <v>2077</v>
      </c>
      <c r="E122" s="14" t="s">
        <v>496</v>
      </c>
      <c r="F122" s="16" t="s">
        <v>1819</v>
      </c>
      <c r="G122" s="16" t="s">
        <v>52</v>
      </c>
      <c r="H122" s="14">
        <v>2006</v>
      </c>
      <c r="I122" s="16" t="s">
        <v>53</v>
      </c>
      <c r="J122" s="16" t="s">
        <v>40</v>
      </c>
      <c r="K122" s="16" t="s">
        <v>34</v>
      </c>
      <c r="L122" s="16" t="s">
        <v>24</v>
      </c>
      <c r="M122" s="16" t="s">
        <v>498</v>
      </c>
      <c r="N122" s="14">
        <v>99</v>
      </c>
      <c r="O122" s="14">
        <v>132</v>
      </c>
      <c r="P122" s="14">
        <v>115.5</v>
      </c>
      <c r="Q122" s="14">
        <v>20</v>
      </c>
      <c r="R122" s="17" t="str">
        <f>IF(Cleaned_DS_jobs!$Q122&lt;10,"little_age_company",IF(AND(Cleaned_DS_jobs!$Q122&gt;=10,Cleaned_DS_jobs!$Q122&lt;=20),"average_age_company","Big_age_company"))</f>
        <v>average_age_company</v>
      </c>
    </row>
    <row r="123" spans="1:18" ht="19.95" customHeight="1" x14ac:dyDescent="0.3">
      <c r="A123" s="18" t="s">
        <v>499</v>
      </c>
      <c r="B123" s="19" t="s">
        <v>1707</v>
      </c>
      <c r="C123" s="19">
        <v>4.7</v>
      </c>
      <c r="D123" s="20" t="s">
        <v>2078</v>
      </c>
      <c r="E123" s="19" t="s">
        <v>143</v>
      </c>
      <c r="F123" s="21" t="s">
        <v>1763</v>
      </c>
      <c r="G123" s="21" t="s">
        <v>52</v>
      </c>
      <c r="H123" s="19">
        <v>2015</v>
      </c>
      <c r="I123" s="21" t="s">
        <v>53</v>
      </c>
      <c r="J123" s="21" t="s">
        <v>123</v>
      </c>
      <c r="K123" s="21" t="s">
        <v>60</v>
      </c>
      <c r="L123" s="21" t="s">
        <v>24</v>
      </c>
      <c r="M123" s="21">
        <v>-1</v>
      </c>
      <c r="N123" s="19">
        <v>99</v>
      </c>
      <c r="O123" s="19">
        <v>132</v>
      </c>
      <c r="P123" s="19">
        <v>115.5</v>
      </c>
      <c r="Q123" s="19">
        <v>11</v>
      </c>
      <c r="R123" s="22" t="str">
        <f>IF(Cleaned_DS_jobs!$Q123&lt;10,"little_age_company",IF(AND(Cleaned_DS_jobs!$Q123&gt;=10,Cleaned_DS_jobs!$Q123&lt;=20),"average_age_company","Big_age_company"))</f>
        <v>average_age_company</v>
      </c>
    </row>
    <row r="124" spans="1:18" ht="19.95" customHeight="1" x14ac:dyDescent="0.3">
      <c r="A124" s="13" t="s">
        <v>240</v>
      </c>
      <c r="B124" s="14" t="s">
        <v>1707</v>
      </c>
      <c r="C124" s="14">
        <v>4.5</v>
      </c>
      <c r="D124" s="15" t="s">
        <v>1983</v>
      </c>
      <c r="E124" s="14" t="s">
        <v>30</v>
      </c>
      <c r="F124" s="16" t="s">
        <v>1753</v>
      </c>
      <c r="G124" s="16" t="s">
        <v>46</v>
      </c>
      <c r="H124" s="14">
        <v>2012</v>
      </c>
      <c r="I124" s="16" t="s">
        <v>53</v>
      </c>
      <c r="J124" s="16" t="s">
        <v>84</v>
      </c>
      <c r="K124" s="16" t="s">
        <v>60</v>
      </c>
      <c r="L124" s="16" t="s">
        <v>41</v>
      </c>
      <c r="M124" s="16" t="s">
        <v>88</v>
      </c>
      <c r="N124" s="14">
        <v>99</v>
      </c>
      <c r="O124" s="14">
        <v>132</v>
      </c>
      <c r="P124" s="14">
        <v>115.5</v>
      </c>
      <c r="Q124" s="14">
        <v>14</v>
      </c>
      <c r="R124" s="17" t="str">
        <f>IF(Cleaned_DS_jobs!$Q124&lt;10,"little_age_company",IF(AND(Cleaned_DS_jobs!$Q124&gt;=10,Cleaned_DS_jobs!$Q124&lt;=20),"average_age_company","Big_age_company"))</f>
        <v>average_age_company</v>
      </c>
    </row>
    <row r="125" spans="1:18" ht="19.95" customHeight="1" x14ac:dyDescent="0.3">
      <c r="A125" s="18" t="s">
        <v>189</v>
      </c>
      <c r="B125" s="19" t="s">
        <v>1707</v>
      </c>
      <c r="C125" s="19">
        <v>4.2</v>
      </c>
      <c r="D125" s="20" t="s">
        <v>2039</v>
      </c>
      <c r="E125" s="19" t="s">
        <v>324</v>
      </c>
      <c r="F125" s="21" t="s">
        <v>1791</v>
      </c>
      <c r="G125" s="21" t="s">
        <v>52</v>
      </c>
      <c r="H125" s="19">
        <v>2006</v>
      </c>
      <c r="I125" s="21" t="s">
        <v>32</v>
      </c>
      <c r="J125" s="21" t="s">
        <v>54</v>
      </c>
      <c r="K125" s="21" t="s">
        <v>34</v>
      </c>
      <c r="L125" s="21" t="s">
        <v>164</v>
      </c>
      <c r="M125" s="21" t="s">
        <v>325</v>
      </c>
      <c r="N125" s="19">
        <v>99</v>
      </c>
      <c r="O125" s="19">
        <v>132</v>
      </c>
      <c r="P125" s="19">
        <v>115.5</v>
      </c>
      <c r="Q125" s="19">
        <v>20</v>
      </c>
      <c r="R125" s="22" t="str">
        <f>IF(Cleaned_DS_jobs!$Q125&lt;10,"little_age_company",IF(AND(Cleaned_DS_jobs!$Q125&gt;=10,Cleaned_DS_jobs!$Q125&lt;=20),"average_age_company","Big_age_company"))</f>
        <v>average_age_company</v>
      </c>
    </row>
    <row r="126" spans="1:18" ht="19.95" customHeight="1" x14ac:dyDescent="0.3">
      <c r="A126" s="13" t="s">
        <v>202</v>
      </c>
      <c r="B126" s="14" t="s">
        <v>1707</v>
      </c>
      <c r="C126" s="14">
        <v>3.4</v>
      </c>
      <c r="D126" s="15" t="s">
        <v>2079</v>
      </c>
      <c r="E126" s="14" t="s">
        <v>505</v>
      </c>
      <c r="F126" s="16" t="s">
        <v>1820</v>
      </c>
      <c r="G126" s="16" t="s">
        <v>52</v>
      </c>
      <c r="H126" s="14">
        <v>2006</v>
      </c>
      <c r="I126" s="16" t="s">
        <v>53</v>
      </c>
      <c r="J126" s="16" t="s">
        <v>506</v>
      </c>
      <c r="K126" s="16" t="s">
        <v>281</v>
      </c>
      <c r="L126" s="16" t="s">
        <v>24</v>
      </c>
      <c r="M126" s="16">
        <v>-1</v>
      </c>
      <c r="N126" s="14">
        <v>99</v>
      </c>
      <c r="O126" s="14">
        <v>132</v>
      </c>
      <c r="P126" s="14">
        <v>115.5</v>
      </c>
      <c r="Q126" s="14">
        <v>20</v>
      </c>
      <c r="R126" s="17" t="str">
        <f>IF(Cleaned_DS_jobs!$Q126&lt;10,"little_age_company",IF(AND(Cleaned_DS_jobs!$Q126&gt;=10,Cleaned_DS_jobs!$Q126&lt;=20),"average_age_company","Big_age_company"))</f>
        <v>average_age_company</v>
      </c>
    </row>
    <row r="127" spans="1:18" ht="19.95" customHeight="1" x14ac:dyDescent="0.3">
      <c r="A127" s="18" t="s">
        <v>1667</v>
      </c>
      <c r="B127" s="19" t="s">
        <v>1707</v>
      </c>
      <c r="C127" s="19">
        <v>3.8</v>
      </c>
      <c r="D127" s="20" t="s">
        <v>2080</v>
      </c>
      <c r="E127" s="19" t="s">
        <v>510</v>
      </c>
      <c r="F127" s="21" t="s">
        <v>1821</v>
      </c>
      <c r="G127" s="21" t="s">
        <v>31</v>
      </c>
      <c r="H127" s="19">
        <v>1996</v>
      </c>
      <c r="I127" s="21" t="s">
        <v>32</v>
      </c>
      <c r="J127" s="21" t="s">
        <v>512</v>
      </c>
      <c r="K127" s="21" t="s">
        <v>513</v>
      </c>
      <c r="L127" s="21" t="s">
        <v>79</v>
      </c>
      <c r="M127" s="21">
        <v>-1</v>
      </c>
      <c r="N127" s="19">
        <v>99</v>
      </c>
      <c r="O127" s="19">
        <v>132</v>
      </c>
      <c r="P127" s="19">
        <v>115.5</v>
      </c>
      <c r="Q127" s="19">
        <v>30</v>
      </c>
      <c r="R127" s="22" t="str">
        <f>IF(Cleaned_DS_jobs!$Q127&lt;10,"little_age_company",IF(AND(Cleaned_DS_jobs!$Q127&gt;=10,Cleaned_DS_jobs!$Q127&lt;=20),"average_age_company","Big_age_company"))</f>
        <v>Big_age_company</v>
      </c>
    </row>
    <row r="128" spans="1:18" ht="19.95" customHeight="1" x14ac:dyDescent="0.3">
      <c r="A128" s="13" t="s">
        <v>26</v>
      </c>
      <c r="B128" s="14" t="s">
        <v>1708</v>
      </c>
      <c r="C128" s="14">
        <v>4.7</v>
      </c>
      <c r="D128" s="15" t="s">
        <v>1984</v>
      </c>
      <c r="E128" s="14" t="s">
        <v>91</v>
      </c>
      <c r="F128" s="16" t="s">
        <v>1754</v>
      </c>
      <c r="G128" s="16" t="s">
        <v>52</v>
      </c>
      <c r="H128" s="14">
        <v>2016</v>
      </c>
      <c r="I128" s="16" t="s">
        <v>53</v>
      </c>
      <c r="J128" s="16" t="s">
        <v>92</v>
      </c>
      <c r="K128" s="16" t="s">
        <v>60</v>
      </c>
      <c r="L128" s="16" t="s">
        <v>24</v>
      </c>
      <c r="M128" s="16" t="s">
        <v>93</v>
      </c>
      <c r="N128" s="14">
        <v>90</v>
      </c>
      <c r="O128" s="14">
        <v>109</v>
      </c>
      <c r="P128" s="14">
        <v>99.5</v>
      </c>
      <c r="Q128" s="14">
        <v>10</v>
      </c>
      <c r="R128" s="17" t="str">
        <f>IF(Cleaned_DS_jobs!$Q128&lt;10,"little_age_company",IF(AND(Cleaned_DS_jobs!$Q128&gt;=10,Cleaned_DS_jobs!$Q128&lt;=20),"average_age_company","Big_age_company"))</f>
        <v>average_age_company</v>
      </c>
    </row>
    <row r="129" spans="1:18" ht="19.95" customHeight="1" x14ac:dyDescent="0.3">
      <c r="A129" s="18" t="s">
        <v>26</v>
      </c>
      <c r="B129" s="19" t="s">
        <v>1708</v>
      </c>
      <c r="C129" s="19">
        <v>3.6</v>
      </c>
      <c r="D129" s="20" t="s">
        <v>1982</v>
      </c>
      <c r="E129" s="19" t="s">
        <v>83</v>
      </c>
      <c r="F129" s="21" t="s">
        <v>1752</v>
      </c>
      <c r="G129" s="21" t="s">
        <v>52</v>
      </c>
      <c r="H129" s="19">
        <v>2014</v>
      </c>
      <c r="I129" s="21" t="s">
        <v>53</v>
      </c>
      <c r="J129" s="21" t="s">
        <v>84</v>
      </c>
      <c r="K129" s="21" t="s">
        <v>60</v>
      </c>
      <c r="L129" s="21" t="s">
        <v>24</v>
      </c>
      <c r="M129" s="21">
        <v>-1</v>
      </c>
      <c r="N129" s="19">
        <v>90</v>
      </c>
      <c r="O129" s="19">
        <v>109</v>
      </c>
      <c r="P129" s="19">
        <v>99.5</v>
      </c>
      <c r="Q129" s="19">
        <v>12</v>
      </c>
      <c r="R129" s="22" t="str">
        <f>IF(Cleaned_DS_jobs!$Q129&lt;10,"little_age_company",IF(AND(Cleaned_DS_jobs!$Q129&gt;=10,Cleaned_DS_jobs!$Q129&lt;=20),"average_age_company","Big_age_company"))</f>
        <v>average_age_company</v>
      </c>
    </row>
    <row r="130" spans="1:18" ht="19.95" customHeight="1" x14ac:dyDescent="0.3">
      <c r="A130" s="13" t="s">
        <v>189</v>
      </c>
      <c r="B130" s="14" t="s">
        <v>1708</v>
      </c>
      <c r="C130" s="14">
        <v>4.2</v>
      </c>
      <c r="D130" s="15" t="s">
        <v>2039</v>
      </c>
      <c r="E130" s="14" t="s">
        <v>324</v>
      </c>
      <c r="F130" s="16" t="s">
        <v>1791</v>
      </c>
      <c r="G130" s="16" t="s">
        <v>52</v>
      </c>
      <c r="H130" s="14">
        <v>2006</v>
      </c>
      <c r="I130" s="16" t="s">
        <v>32</v>
      </c>
      <c r="J130" s="16" t="s">
        <v>54</v>
      </c>
      <c r="K130" s="16" t="s">
        <v>34</v>
      </c>
      <c r="L130" s="16" t="s">
        <v>164</v>
      </c>
      <c r="M130" s="16" t="s">
        <v>325</v>
      </c>
      <c r="N130" s="14">
        <v>90</v>
      </c>
      <c r="O130" s="14">
        <v>109</v>
      </c>
      <c r="P130" s="14">
        <v>99.5</v>
      </c>
      <c r="Q130" s="14">
        <v>20</v>
      </c>
      <c r="R130" s="17" t="str">
        <f>IF(Cleaned_DS_jobs!$Q130&lt;10,"little_age_company",IF(AND(Cleaned_DS_jobs!$Q130&gt;=10,Cleaned_DS_jobs!$Q130&lt;=20),"average_age_company","Big_age_company"))</f>
        <v>average_age_company</v>
      </c>
    </row>
    <row r="131" spans="1:18" ht="19.95" customHeight="1" x14ac:dyDescent="0.3">
      <c r="A131" s="18" t="s">
        <v>1667</v>
      </c>
      <c r="B131" s="19" t="s">
        <v>1708</v>
      </c>
      <c r="C131" s="19">
        <v>3.8</v>
      </c>
      <c r="D131" s="20" t="s">
        <v>2080</v>
      </c>
      <c r="E131" s="19" t="s">
        <v>510</v>
      </c>
      <c r="F131" s="21" t="s">
        <v>1821</v>
      </c>
      <c r="G131" s="21" t="s">
        <v>31</v>
      </c>
      <c r="H131" s="19">
        <v>1996</v>
      </c>
      <c r="I131" s="21" t="s">
        <v>32</v>
      </c>
      <c r="J131" s="21" t="s">
        <v>512</v>
      </c>
      <c r="K131" s="21" t="s">
        <v>513</v>
      </c>
      <c r="L131" s="21" t="s">
        <v>79</v>
      </c>
      <c r="M131" s="21">
        <v>-1</v>
      </c>
      <c r="N131" s="19">
        <v>90</v>
      </c>
      <c r="O131" s="19">
        <v>109</v>
      </c>
      <c r="P131" s="19">
        <v>99.5</v>
      </c>
      <c r="Q131" s="19">
        <v>30</v>
      </c>
      <c r="R131" s="22" t="str">
        <f>IF(Cleaned_DS_jobs!$Q131&lt;10,"little_age_company",IF(AND(Cleaned_DS_jobs!$Q131&gt;=10,Cleaned_DS_jobs!$Q131&lt;=20),"average_age_company","Big_age_company"))</f>
        <v>Big_age_company</v>
      </c>
    </row>
    <row r="132" spans="1:18" ht="19.95" customHeight="1" x14ac:dyDescent="0.3">
      <c r="A132" s="13" t="s">
        <v>26</v>
      </c>
      <c r="B132" s="14" t="s">
        <v>1708</v>
      </c>
      <c r="C132" s="14">
        <v>5</v>
      </c>
      <c r="D132" s="15" t="s">
        <v>2081</v>
      </c>
      <c r="E132" s="14" t="s">
        <v>143</v>
      </c>
      <c r="F132" s="16" t="s">
        <v>1763</v>
      </c>
      <c r="G132" s="16" t="s">
        <v>117</v>
      </c>
      <c r="H132" s="14">
        <v>2016</v>
      </c>
      <c r="I132" s="16" t="s">
        <v>53</v>
      </c>
      <c r="J132" s="16" t="s">
        <v>84</v>
      </c>
      <c r="K132" s="16" t="s">
        <v>60</v>
      </c>
      <c r="L132" s="16" t="s">
        <v>24</v>
      </c>
      <c r="M132" s="16">
        <v>-1</v>
      </c>
      <c r="N132" s="14">
        <v>90</v>
      </c>
      <c r="O132" s="14">
        <v>109</v>
      </c>
      <c r="P132" s="14">
        <v>99.5</v>
      </c>
      <c r="Q132" s="14">
        <v>10</v>
      </c>
      <c r="R132" s="17" t="str">
        <f>IF(Cleaned_DS_jobs!$Q132&lt;10,"little_age_company",IF(AND(Cleaned_DS_jobs!$Q132&gt;=10,Cleaned_DS_jobs!$Q132&lt;=20),"average_age_company","Big_age_company"))</f>
        <v>average_age_company</v>
      </c>
    </row>
    <row r="133" spans="1:18" ht="19.95" customHeight="1" x14ac:dyDescent="0.3">
      <c r="A133" s="18" t="s">
        <v>499</v>
      </c>
      <c r="B133" s="19" t="s">
        <v>1708</v>
      </c>
      <c r="C133" s="19">
        <v>4.9000000000000004</v>
      </c>
      <c r="D133" s="20" t="s">
        <v>2082</v>
      </c>
      <c r="E133" s="19" t="s">
        <v>519</v>
      </c>
      <c r="F133" s="21" t="s">
        <v>1822</v>
      </c>
      <c r="G133" s="21" t="s">
        <v>107</v>
      </c>
      <c r="H133" s="19">
        <v>2011</v>
      </c>
      <c r="I133" s="21" t="s">
        <v>53</v>
      </c>
      <c r="J133" s="21" t="s">
        <v>520</v>
      </c>
      <c r="K133" s="21" t="s">
        <v>170</v>
      </c>
      <c r="L133" s="21" t="s">
        <v>194</v>
      </c>
      <c r="M133" s="21">
        <v>-1</v>
      </c>
      <c r="N133" s="19">
        <v>90</v>
      </c>
      <c r="O133" s="19">
        <v>109</v>
      </c>
      <c r="P133" s="19">
        <v>99.5</v>
      </c>
      <c r="Q133" s="19">
        <v>15</v>
      </c>
      <c r="R133" s="22" t="str">
        <f>IF(Cleaned_DS_jobs!$Q133&lt;10,"little_age_company",IF(AND(Cleaned_DS_jobs!$Q133&gt;=10,Cleaned_DS_jobs!$Q133&lt;=20),"average_age_company","Big_age_company"))</f>
        <v>average_age_company</v>
      </c>
    </row>
    <row r="134" spans="1:18" ht="19.95" customHeight="1" x14ac:dyDescent="0.3">
      <c r="A134" s="13" t="s">
        <v>189</v>
      </c>
      <c r="B134" s="14" t="s">
        <v>1708</v>
      </c>
      <c r="C134" s="14">
        <v>4.4000000000000004</v>
      </c>
      <c r="D134" s="15" t="s">
        <v>2083</v>
      </c>
      <c r="E134" s="14" t="s">
        <v>523</v>
      </c>
      <c r="F134" s="16" t="s">
        <v>1744</v>
      </c>
      <c r="G134" s="16" t="s">
        <v>52</v>
      </c>
      <c r="H134" s="14">
        <v>2003</v>
      </c>
      <c r="I134" s="16" t="s">
        <v>53</v>
      </c>
      <c r="J134" s="16" t="s">
        <v>54</v>
      </c>
      <c r="K134" s="16" t="s">
        <v>34</v>
      </c>
      <c r="L134" s="16" t="s">
        <v>164</v>
      </c>
      <c r="M134" s="16">
        <v>-1</v>
      </c>
      <c r="N134" s="14">
        <v>90</v>
      </c>
      <c r="O134" s="14">
        <v>109</v>
      </c>
      <c r="P134" s="14">
        <v>99.5</v>
      </c>
      <c r="Q134" s="14">
        <v>23</v>
      </c>
      <c r="R134" s="17" t="str">
        <f>IF(Cleaned_DS_jobs!$Q134&lt;10,"little_age_company",IF(AND(Cleaned_DS_jobs!$Q134&gt;=10,Cleaned_DS_jobs!$Q134&lt;=20),"average_age_company","Big_age_company"))</f>
        <v>Big_age_company</v>
      </c>
    </row>
    <row r="135" spans="1:18" ht="19.95" customHeight="1" x14ac:dyDescent="0.3">
      <c r="A135" s="18" t="s">
        <v>26</v>
      </c>
      <c r="B135" s="19" t="s">
        <v>1708</v>
      </c>
      <c r="C135" s="19">
        <v>3.3</v>
      </c>
      <c r="D135" s="20" t="s">
        <v>2084</v>
      </c>
      <c r="E135" s="19" t="s">
        <v>526</v>
      </c>
      <c r="F135" s="21" t="s">
        <v>1823</v>
      </c>
      <c r="G135" s="21" t="s">
        <v>20</v>
      </c>
      <c r="H135" s="19">
        <v>2012</v>
      </c>
      <c r="I135" s="21" t="s">
        <v>53</v>
      </c>
      <c r="J135" s="21" t="s">
        <v>59</v>
      </c>
      <c r="K135" s="21" t="s">
        <v>60</v>
      </c>
      <c r="L135" s="21" t="s">
        <v>41</v>
      </c>
      <c r="M135" s="21">
        <v>-1</v>
      </c>
      <c r="N135" s="19">
        <v>90</v>
      </c>
      <c r="O135" s="19">
        <v>109</v>
      </c>
      <c r="P135" s="19">
        <v>99.5</v>
      </c>
      <c r="Q135" s="19">
        <v>14</v>
      </c>
      <c r="R135" s="22" t="str">
        <f>IF(Cleaned_DS_jobs!$Q135&lt;10,"little_age_company",IF(AND(Cleaned_DS_jobs!$Q135&gt;=10,Cleaned_DS_jobs!$Q135&lt;=20),"average_age_company","Big_age_company"))</f>
        <v>average_age_company</v>
      </c>
    </row>
    <row r="136" spans="1:18" ht="19.95" customHeight="1" x14ac:dyDescent="0.3">
      <c r="A136" s="13" t="s">
        <v>221</v>
      </c>
      <c r="B136" s="14" t="s">
        <v>1708</v>
      </c>
      <c r="C136" s="14">
        <v>3.2</v>
      </c>
      <c r="D136" s="15" t="s">
        <v>1993</v>
      </c>
      <c r="E136" s="14" t="s">
        <v>122</v>
      </c>
      <c r="F136" s="16" t="s">
        <v>1763</v>
      </c>
      <c r="G136" s="16" t="s">
        <v>52</v>
      </c>
      <c r="H136" s="14">
        <v>2015</v>
      </c>
      <c r="I136" s="16" t="s">
        <v>53</v>
      </c>
      <c r="J136" s="16" t="s">
        <v>59</v>
      </c>
      <c r="K136" s="16" t="s">
        <v>60</v>
      </c>
      <c r="L136" s="16" t="s">
        <v>24</v>
      </c>
      <c r="M136" s="16">
        <v>-1</v>
      </c>
      <c r="N136" s="14">
        <v>90</v>
      </c>
      <c r="O136" s="14">
        <v>109</v>
      </c>
      <c r="P136" s="14">
        <v>99.5</v>
      </c>
      <c r="Q136" s="14">
        <v>11</v>
      </c>
      <c r="R136" s="17" t="str">
        <f>IF(Cleaned_DS_jobs!$Q136&lt;10,"little_age_company",IF(AND(Cleaned_DS_jobs!$Q136&gt;=10,Cleaned_DS_jobs!$Q136&lt;=20),"average_age_company","Big_age_company"))</f>
        <v>average_age_company</v>
      </c>
    </row>
    <row r="137" spans="1:18" ht="19.95" customHeight="1" x14ac:dyDescent="0.3">
      <c r="A137" s="18" t="s">
        <v>221</v>
      </c>
      <c r="B137" s="19" t="s">
        <v>1708</v>
      </c>
      <c r="C137" s="19">
        <v>3.2</v>
      </c>
      <c r="D137" s="20" t="s">
        <v>1993</v>
      </c>
      <c r="E137" s="19" t="s">
        <v>122</v>
      </c>
      <c r="F137" s="21" t="s">
        <v>1763</v>
      </c>
      <c r="G137" s="21" t="s">
        <v>52</v>
      </c>
      <c r="H137" s="19">
        <v>2015</v>
      </c>
      <c r="I137" s="21" t="s">
        <v>53</v>
      </c>
      <c r="J137" s="21" t="s">
        <v>59</v>
      </c>
      <c r="K137" s="21" t="s">
        <v>60</v>
      </c>
      <c r="L137" s="21" t="s">
        <v>24</v>
      </c>
      <c r="M137" s="21">
        <v>-1</v>
      </c>
      <c r="N137" s="19">
        <v>90</v>
      </c>
      <c r="O137" s="19">
        <v>109</v>
      </c>
      <c r="P137" s="19">
        <v>99.5</v>
      </c>
      <c r="Q137" s="19">
        <v>11</v>
      </c>
      <c r="R137" s="22" t="str">
        <f>IF(Cleaned_DS_jobs!$Q137&lt;10,"little_age_company",IF(AND(Cleaned_DS_jobs!$Q137&gt;=10,Cleaned_DS_jobs!$Q137&lt;=20),"average_age_company","Big_age_company"))</f>
        <v>average_age_company</v>
      </c>
    </row>
    <row r="138" spans="1:18" ht="19.95" customHeight="1" x14ac:dyDescent="0.3">
      <c r="A138" s="13" t="s">
        <v>499</v>
      </c>
      <c r="B138" s="14" t="s">
        <v>1708</v>
      </c>
      <c r="C138" s="14">
        <v>4.9000000000000004</v>
      </c>
      <c r="D138" s="15" t="s">
        <v>2082</v>
      </c>
      <c r="E138" s="14" t="s">
        <v>519</v>
      </c>
      <c r="F138" s="16" t="s">
        <v>1822</v>
      </c>
      <c r="G138" s="16" t="s">
        <v>107</v>
      </c>
      <c r="H138" s="14">
        <v>2011</v>
      </c>
      <c r="I138" s="16" t="s">
        <v>53</v>
      </c>
      <c r="J138" s="16" t="s">
        <v>520</v>
      </c>
      <c r="K138" s="16" t="s">
        <v>170</v>
      </c>
      <c r="L138" s="16" t="s">
        <v>194</v>
      </c>
      <c r="M138" s="16">
        <v>-1</v>
      </c>
      <c r="N138" s="14">
        <v>90</v>
      </c>
      <c r="O138" s="14">
        <v>109</v>
      </c>
      <c r="P138" s="14">
        <v>99.5</v>
      </c>
      <c r="Q138" s="14">
        <v>15</v>
      </c>
      <c r="R138" s="17" t="str">
        <f>IF(Cleaned_DS_jobs!$Q138&lt;10,"little_age_company",IF(AND(Cleaned_DS_jobs!$Q138&gt;=10,Cleaned_DS_jobs!$Q138&lt;=20),"average_age_company","Big_age_company"))</f>
        <v>average_age_company</v>
      </c>
    </row>
    <row r="139" spans="1:18" ht="19.95" customHeight="1" x14ac:dyDescent="0.3">
      <c r="A139" s="18" t="s">
        <v>26</v>
      </c>
      <c r="B139" s="19" t="s">
        <v>1708</v>
      </c>
      <c r="C139" s="19">
        <v>4.2</v>
      </c>
      <c r="D139" s="20" t="s">
        <v>2085</v>
      </c>
      <c r="E139" s="19" t="s">
        <v>438</v>
      </c>
      <c r="F139" s="21" t="s">
        <v>1810</v>
      </c>
      <c r="G139" s="21" t="s">
        <v>107</v>
      </c>
      <c r="H139" s="19">
        <v>2012</v>
      </c>
      <c r="I139" s="21" t="s">
        <v>53</v>
      </c>
      <c r="J139" s="21" t="s">
        <v>520</v>
      </c>
      <c r="K139" s="21" t="s">
        <v>170</v>
      </c>
      <c r="L139" s="21" t="s">
        <v>24</v>
      </c>
      <c r="M139" s="21">
        <v>-1</v>
      </c>
      <c r="N139" s="19">
        <v>90</v>
      </c>
      <c r="O139" s="19">
        <v>109</v>
      </c>
      <c r="P139" s="19">
        <v>99.5</v>
      </c>
      <c r="Q139" s="19">
        <v>14</v>
      </c>
      <c r="R139" s="22" t="str">
        <f>IF(Cleaned_DS_jobs!$Q139&lt;10,"little_age_company",IF(AND(Cleaned_DS_jobs!$Q139&gt;=10,Cleaned_DS_jobs!$Q139&lt;=20),"average_age_company","Big_age_company"))</f>
        <v>average_age_company</v>
      </c>
    </row>
    <row r="140" spans="1:18" ht="19.95" customHeight="1" x14ac:dyDescent="0.3">
      <c r="A140" s="13" t="s">
        <v>218</v>
      </c>
      <c r="B140" s="14" t="s">
        <v>1708</v>
      </c>
      <c r="C140" s="14">
        <v>4.5</v>
      </c>
      <c r="D140" s="15" t="s">
        <v>2030</v>
      </c>
      <c r="E140" s="14" t="s">
        <v>143</v>
      </c>
      <c r="F140" s="16" t="s">
        <v>1754</v>
      </c>
      <c r="G140" s="16" t="s">
        <v>107</v>
      </c>
      <c r="H140" s="14">
        <v>1994</v>
      </c>
      <c r="I140" s="16" t="s">
        <v>53</v>
      </c>
      <c r="J140" s="16" t="s">
        <v>286</v>
      </c>
      <c r="K140" s="16" t="s">
        <v>34</v>
      </c>
      <c r="L140" s="16" t="s">
        <v>164</v>
      </c>
      <c r="M140" s="16">
        <v>-1</v>
      </c>
      <c r="N140" s="14">
        <v>90</v>
      </c>
      <c r="O140" s="14">
        <v>109</v>
      </c>
      <c r="P140" s="14">
        <v>99.5</v>
      </c>
      <c r="Q140" s="14">
        <v>32</v>
      </c>
      <c r="R140" s="17" t="str">
        <f>IF(Cleaned_DS_jobs!$Q140&lt;10,"little_age_company",IF(AND(Cleaned_DS_jobs!$Q140&gt;=10,Cleaned_DS_jobs!$Q140&lt;=20),"average_age_company","Big_age_company"))</f>
        <v>Big_age_company</v>
      </c>
    </row>
    <row r="141" spans="1:18" ht="19.95" customHeight="1" x14ac:dyDescent="0.3">
      <c r="A141" s="18" t="s">
        <v>189</v>
      </c>
      <c r="B141" s="19" t="s">
        <v>1708</v>
      </c>
      <c r="C141" s="19">
        <v>4.8</v>
      </c>
      <c r="D141" s="20" t="s">
        <v>2086</v>
      </c>
      <c r="E141" s="19" t="s">
        <v>236</v>
      </c>
      <c r="F141" s="21" t="s">
        <v>1777</v>
      </c>
      <c r="G141" s="21" t="s">
        <v>107</v>
      </c>
      <c r="H141" s="19">
        <v>2012</v>
      </c>
      <c r="I141" s="21" t="s">
        <v>53</v>
      </c>
      <c r="J141" s="21" t="s">
        <v>468</v>
      </c>
      <c r="K141" s="21" t="s">
        <v>469</v>
      </c>
      <c r="L141" s="21" t="s">
        <v>24</v>
      </c>
      <c r="M141" s="21">
        <v>-1</v>
      </c>
      <c r="N141" s="19">
        <v>90</v>
      </c>
      <c r="O141" s="19">
        <v>109</v>
      </c>
      <c r="P141" s="19">
        <v>99.5</v>
      </c>
      <c r="Q141" s="19">
        <v>14</v>
      </c>
      <c r="R141" s="22" t="str">
        <f>IF(Cleaned_DS_jobs!$Q141&lt;10,"little_age_company",IF(AND(Cleaned_DS_jobs!$Q141&gt;=10,Cleaned_DS_jobs!$Q141&lt;=20),"average_age_company","Big_age_company"))</f>
        <v>average_age_company</v>
      </c>
    </row>
    <row r="142" spans="1:18" ht="19.95" customHeight="1" x14ac:dyDescent="0.3">
      <c r="A142" s="13" t="s">
        <v>1668</v>
      </c>
      <c r="B142" s="14" t="s">
        <v>1708</v>
      </c>
      <c r="C142" s="14">
        <v>3.8</v>
      </c>
      <c r="D142" s="15" t="s">
        <v>2087</v>
      </c>
      <c r="E142" s="14" t="s">
        <v>536</v>
      </c>
      <c r="F142" s="16" t="s">
        <v>1824</v>
      </c>
      <c r="G142" s="16" t="s">
        <v>46</v>
      </c>
      <c r="H142" s="14">
        <v>1997</v>
      </c>
      <c r="I142" s="16" t="s">
        <v>21</v>
      </c>
      <c r="J142" s="16" t="s">
        <v>201</v>
      </c>
      <c r="K142" s="16" t="s">
        <v>100</v>
      </c>
      <c r="L142" s="16" t="s">
        <v>24</v>
      </c>
      <c r="M142" s="16">
        <v>-1</v>
      </c>
      <c r="N142" s="14">
        <v>90</v>
      </c>
      <c r="O142" s="14">
        <v>109</v>
      </c>
      <c r="P142" s="14">
        <v>99.5</v>
      </c>
      <c r="Q142" s="14">
        <v>29</v>
      </c>
      <c r="R142" s="17" t="str">
        <f>IF(Cleaned_DS_jobs!$Q142&lt;10,"little_age_company",IF(AND(Cleaned_DS_jobs!$Q142&gt;=10,Cleaned_DS_jobs!$Q142&lt;=20),"average_age_company","Big_age_company"))</f>
        <v>Big_age_company</v>
      </c>
    </row>
    <row r="143" spans="1:18" ht="19.95" customHeight="1" x14ac:dyDescent="0.3">
      <c r="A143" s="18" t="s">
        <v>537</v>
      </c>
      <c r="B143" s="19" t="s">
        <v>1708</v>
      </c>
      <c r="C143" s="19">
        <v>3.7</v>
      </c>
      <c r="D143" s="20" t="s">
        <v>2088</v>
      </c>
      <c r="E143" s="19" t="s">
        <v>83</v>
      </c>
      <c r="F143" s="21" t="s">
        <v>1752</v>
      </c>
      <c r="G143" s="21" t="s">
        <v>20</v>
      </c>
      <c r="H143" s="19">
        <v>2001</v>
      </c>
      <c r="I143" s="21" t="s">
        <v>53</v>
      </c>
      <c r="J143" s="21" t="s">
        <v>84</v>
      </c>
      <c r="K143" s="21" t="s">
        <v>60</v>
      </c>
      <c r="L143" s="21" t="s">
        <v>24</v>
      </c>
      <c r="M143" s="21">
        <v>-1</v>
      </c>
      <c r="N143" s="19">
        <v>90</v>
      </c>
      <c r="O143" s="19">
        <v>109</v>
      </c>
      <c r="P143" s="19">
        <v>99.5</v>
      </c>
      <c r="Q143" s="19">
        <v>25</v>
      </c>
      <c r="R143" s="22" t="str">
        <f>IF(Cleaned_DS_jobs!$Q143&lt;10,"little_age_company",IF(AND(Cleaned_DS_jobs!$Q143&gt;=10,Cleaned_DS_jobs!$Q143&lt;=20),"average_age_company","Big_age_company"))</f>
        <v>Big_age_company</v>
      </c>
    </row>
    <row r="144" spans="1:18" ht="19.95" customHeight="1" x14ac:dyDescent="0.3">
      <c r="A144" s="13" t="s">
        <v>240</v>
      </c>
      <c r="B144" s="14" t="s">
        <v>1708</v>
      </c>
      <c r="C144" s="14">
        <v>3.3</v>
      </c>
      <c r="D144" s="15" t="s">
        <v>2089</v>
      </c>
      <c r="E144" s="14" t="s">
        <v>143</v>
      </c>
      <c r="F144" s="16" t="s">
        <v>1763</v>
      </c>
      <c r="G144" s="16" t="s">
        <v>52</v>
      </c>
      <c r="H144" s="14">
        <v>2013</v>
      </c>
      <c r="I144" s="16" t="s">
        <v>53</v>
      </c>
      <c r="J144" s="16" t="s">
        <v>47</v>
      </c>
      <c r="K144" s="16" t="s">
        <v>48</v>
      </c>
      <c r="L144" s="16" t="s">
        <v>403</v>
      </c>
      <c r="M144" s="16">
        <v>-1</v>
      </c>
      <c r="N144" s="14">
        <v>90</v>
      </c>
      <c r="O144" s="14">
        <v>109</v>
      </c>
      <c r="P144" s="14">
        <v>99.5</v>
      </c>
      <c r="Q144" s="14">
        <v>13</v>
      </c>
      <c r="R144" s="17" t="str">
        <f>IF(Cleaned_DS_jobs!$Q144&lt;10,"little_age_company",IF(AND(Cleaned_DS_jobs!$Q144&gt;=10,Cleaned_DS_jobs!$Q144&lt;=20),"average_age_company","Big_age_company"))</f>
        <v>average_age_company</v>
      </c>
    </row>
    <row r="145" spans="1:18" ht="19.95" customHeight="1" x14ac:dyDescent="0.3">
      <c r="A145" s="18" t="s">
        <v>1669</v>
      </c>
      <c r="B145" s="19" t="s">
        <v>1708</v>
      </c>
      <c r="C145" s="19">
        <v>3.3</v>
      </c>
      <c r="D145" s="20" t="s">
        <v>2090</v>
      </c>
      <c r="E145" s="19" t="s">
        <v>178</v>
      </c>
      <c r="F145" s="21" t="s">
        <v>1750</v>
      </c>
      <c r="G145" s="21" t="s">
        <v>31</v>
      </c>
      <c r="H145" s="19">
        <v>1958</v>
      </c>
      <c r="I145" s="21" t="s">
        <v>21</v>
      </c>
      <c r="J145" s="21" t="s">
        <v>118</v>
      </c>
      <c r="K145" s="21" t="s">
        <v>98</v>
      </c>
      <c r="L145" s="21" t="s">
        <v>35</v>
      </c>
      <c r="M145" s="21" t="s">
        <v>545</v>
      </c>
      <c r="N145" s="19">
        <v>90</v>
      </c>
      <c r="O145" s="19">
        <v>109</v>
      </c>
      <c r="P145" s="19">
        <v>99.5</v>
      </c>
      <c r="Q145" s="19">
        <v>68</v>
      </c>
      <c r="R145" s="22" t="str">
        <f>IF(Cleaned_DS_jobs!$Q145&lt;10,"little_age_company",IF(AND(Cleaned_DS_jobs!$Q145&gt;=10,Cleaned_DS_jobs!$Q145&lt;=20),"average_age_company","Big_age_company"))</f>
        <v>Big_age_company</v>
      </c>
    </row>
    <row r="146" spans="1:18" ht="19.95" customHeight="1" x14ac:dyDescent="0.3">
      <c r="A146" s="13" t="s">
        <v>221</v>
      </c>
      <c r="B146" s="14" t="s">
        <v>1708</v>
      </c>
      <c r="C146" s="14">
        <v>5</v>
      </c>
      <c r="D146" s="15" t="s">
        <v>2091</v>
      </c>
      <c r="E146" s="14" t="s">
        <v>30</v>
      </c>
      <c r="F146" s="16" t="s">
        <v>1825</v>
      </c>
      <c r="G146" s="16" t="s">
        <v>117</v>
      </c>
      <c r="H146" s="14">
        <v>2013</v>
      </c>
      <c r="I146" s="16" t="s">
        <v>53</v>
      </c>
      <c r="J146" s="16" t="s">
        <v>175</v>
      </c>
      <c r="K146" s="16" t="s">
        <v>175</v>
      </c>
      <c r="L146" s="16" t="s">
        <v>160</v>
      </c>
      <c r="M146" s="16">
        <v>-1</v>
      </c>
      <c r="N146" s="14">
        <v>90</v>
      </c>
      <c r="O146" s="14">
        <v>109</v>
      </c>
      <c r="P146" s="14">
        <v>99.5</v>
      </c>
      <c r="Q146" s="14">
        <v>13</v>
      </c>
      <c r="R146" s="17" t="str">
        <f>IF(Cleaned_DS_jobs!$Q146&lt;10,"little_age_company",IF(AND(Cleaned_DS_jobs!$Q146&gt;=10,Cleaned_DS_jobs!$Q146&lt;=20),"average_age_company","Big_age_company"))</f>
        <v>average_age_company</v>
      </c>
    </row>
    <row r="147" spans="1:18" ht="19.95" customHeight="1" x14ac:dyDescent="0.3">
      <c r="A147" s="18" t="s">
        <v>549</v>
      </c>
      <c r="B147" s="19" t="s">
        <v>1708</v>
      </c>
      <c r="C147" s="19">
        <v>3.8</v>
      </c>
      <c r="D147" s="20" t="s">
        <v>2092</v>
      </c>
      <c r="E147" s="19" t="s">
        <v>492</v>
      </c>
      <c r="F147" s="21" t="s">
        <v>1818</v>
      </c>
      <c r="G147" s="21" t="s">
        <v>46</v>
      </c>
      <c r="H147" s="19">
        <v>2013</v>
      </c>
      <c r="I147" s="21" t="s">
        <v>301</v>
      </c>
      <c r="J147" s="21" t="s">
        <v>67</v>
      </c>
      <c r="K147" s="21" t="s">
        <v>67</v>
      </c>
      <c r="L147" s="21" t="s">
        <v>41</v>
      </c>
      <c r="M147" s="21" t="s">
        <v>552</v>
      </c>
      <c r="N147" s="19">
        <v>90</v>
      </c>
      <c r="O147" s="19">
        <v>109</v>
      </c>
      <c r="P147" s="19">
        <v>99.5</v>
      </c>
      <c r="Q147" s="19">
        <v>13</v>
      </c>
      <c r="R147" s="22" t="str">
        <f>IF(Cleaned_DS_jobs!$Q147&lt;10,"little_age_company",IF(AND(Cleaned_DS_jobs!$Q147&gt;=10,Cleaned_DS_jobs!$Q147&lt;=20),"average_age_company","Big_age_company"))</f>
        <v>average_age_company</v>
      </c>
    </row>
    <row r="148" spans="1:18" ht="19.95" customHeight="1" x14ac:dyDescent="0.3">
      <c r="A148" s="13" t="s">
        <v>26</v>
      </c>
      <c r="B148" s="14" t="s">
        <v>1708</v>
      </c>
      <c r="C148" s="14">
        <v>3.4</v>
      </c>
      <c r="D148" s="15" t="s">
        <v>2093</v>
      </c>
      <c r="E148" s="14" t="s">
        <v>555</v>
      </c>
      <c r="F148" s="16" t="s">
        <v>1746</v>
      </c>
      <c r="G148" s="16" t="s">
        <v>20</v>
      </c>
      <c r="H148" s="14">
        <v>1982</v>
      </c>
      <c r="I148" s="16" t="s">
        <v>53</v>
      </c>
      <c r="J148" s="16" t="s">
        <v>22</v>
      </c>
      <c r="K148" s="16" t="s">
        <v>23</v>
      </c>
      <c r="L148" s="16" t="s">
        <v>160</v>
      </c>
      <c r="M148" s="16" t="s">
        <v>556</v>
      </c>
      <c r="N148" s="14">
        <v>90</v>
      </c>
      <c r="O148" s="14">
        <v>109</v>
      </c>
      <c r="P148" s="14">
        <v>99.5</v>
      </c>
      <c r="Q148" s="14">
        <v>44</v>
      </c>
      <c r="R148" s="17" t="str">
        <f>IF(Cleaned_DS_jobs!$Q148&lt;10,"little_age_company",IF(AND(Cleaned_DS_jobs!$Q148&gt;=10,Cleaned_DS_jobs!$Q148&lt;=20),"average_age_company","Big_age_company"))</f>
        <v>Big_age_company</v>
      </c>
    </row>
    <row r="149" spans="1:18" ht="19.95" customHeight="1" x14ac:dyDescent="0.3">
      <c r="A149" s="18" t="s">
        <v>1670</v>
      </c>
      <c r="B149" s="19" t="s">
        <v>1708</v>
      </c>
      <c r="C149" s="19">
        <v>2.4</v>
      </c>
      <c r="D149" s="20" t="s">
        <v>2094</v>
      </c>
      <c r="E149" s="19" t="s">
        <v>77</v>
      </c>
      <c r="F149" s="21" t="s">
        <v>1826</v>
      </c>
      <c r="G149" s="21" t="s">
        <v>46</v>
      </c>
      <c r="H149" s="19">
        <v>2006</v>
      </c>
      <c r="I149" s="21" t="s">
        <v>53</v>
      </c>
      <c r="J149" s="21" t="s">
        <v>67</v>
      </c>
      <c r="K149" s="21" t="s">
        <v>67</v>
      </c>
      <c r="L149" s="21" t="s">
        <v>194</v>
      </c>
      <c r="M149" s="21">
        <v>-1</v>
      </c>
      <c r="N149" s="19">
        <v>90</v>
      </c>
      <c r="O149" s="19">
        <v>109</v>
      </c>
      <c r="P149" s="19">
        <v>99.5</v>
      </c>
      <c r="Q149" s="19">
        <v>20</v>
      </c>
      <c r="R149" s="22" t="str">
        <f>IF(Cleaned_DS_jobs!$Q149&lt;10,"little_age_company",IF(AND(Cleaned_DS_jobs!$Q149&gt;=10,Cleaned_DS_jobs!$Q149&lt;=20),"average_age_company","Big_age_company"))</f>
        <v>average_age_company</v>
      </c>
    </row>
    <row r="150" spans="1:18" ht="19.95" customHeight="1" x14ac:dyDescent="0.3">
      <c r="A150" s="13" t="s">
        <v>26</v>
      </c>
      <c r="B150" s="14" t="s">
        <v>1708</v>
      </c>
      <c r="C150" s="14">
        <v>2.9</v>
      </c>
      <c r="D150" s="15" t="s">
        <v>2095</v>
      </c>
      <c r="E150" s="14" t="s">
        <v>64</v>
      </c>
      <c r="F150" s="16" t="s">
        <v>1779</v>
      </c>
      <c r="G150" s="16" t="s">
        <v>52</v>
      </c>
      <c r="H150" s="14">
        <v>2000</v>
      </c>
      <c r="I150" s="16" t="s">
        <v>53</v>
      </c>
      <c r="J150" s="16" t="s">
        <v>67</v>
      </c>
      <c r="K150" s="16" t="s">
        <v>67</v>
      </c>
      <c r="L150" s="16" t="s">
        <v>160</v>
      </c>
      <c r="M150" s="16">
        <v>-1</v>
      </c>
      <c r="N150" s="14">
        <v>90</v>
      </c>
      <c r="O150" s="14">
        <v>109</v>
      </c>
      <c r="P150" s="14">
        <v>99.5</v>
      </c>
      <c r="Q150" s="14">
        <v>26</v>
      </c>
      <c r="R150" s="17" t="str">
        <f>IF(Cleaned_DS_jobs!$Q150&lt;10,"little_age_company",IF(AND(Cleaned_DS_jobs!$Q150&gt;=10,Cleaned_DS_jobs!$Q150&lt;=20),"average_age_company","Big_age_company"))</f>
        <v>Big_age_company</v>
      </c>
    </row>
    <row r="151" spans="1:18" ht="19.95" customHeight="1" x14ac:dyDescent="0.3">
      <c r="A151" s="18" t="s">
        <v>562</v>
      </c>
      <c r="B151" s="19" t="s">
        <v>1708</v>
      </c>
      <c r="C151" s="19">
        <v>4.4000000000000004</v>
      </c>
      <c r="D151" s="20" t="s">
        <v>2096</v>
      </c>
      <c r="E151" s="19" t="s">
        <v>565</v>
      </c>
      <c r="F151" s="21" t="s">
        <v>1827</v>
      </c>
      <c r="G151" s="21" t="s">
        <v>107</v>
      </c>
      <c r="H151" s="19">
        <v>1967</v>
      </c>
      <c r="I151" s="21" t="s">
        <v>53</v>
      </c>
      <c r="J151" s="21" t="s">
        <v>54</v>
      </c>
      <c r="K151" s="21" t="s">
        <v>34</v>
      </c>
      <c r="L151" s="21" t="s">
        <v>24</v>
      </c>
      <c r="M151" s="21">
        <v>-1</v>
      </c>
      <c r="N151" s="19">
        <v>90</v>
      </c>
      <c r="O151" s="19">
        <v>109</v>
      </c>
      <c r="P151" s="19">
        <v>99.5</v>
      </c>
      <c r="Q151" s="19">
        <v>59</v>
      </c>
      <c r="R151" s="22" t="str">
        <f>IF(Cleaned_DS_jobs!$Q151&lt;10,"little_age_company",IF(AND(Cleaned_DS_jobs!$Q151&gt;=10,Cleaned_DS_jobs!$Q151&lt;=20),"average_age_company","Big_age_company"))</f>
        <v>Big_age_company</v>
      </c>
    </row>
    <row r="152" spans="1:18" ht="19.95" customHeight="1" x14ac:dyDescent="0.3">
      <c r="A152" s="13" t="s">
        <v>26</v>
      </c>
      <c r="B152" s="14" t="s">
        <v>1708</v>
      </c>
      <c r="C152" s="14">
        <v>2.9</v>
      </c>
      <c r="D152" s="15" t="s">
        <v>2097</v>
      </c>
      <c r="E152" s="14" t="s">
        <v>569</v>
      </c>
      <c r="F152" s="16" t="s">
        <v>1828</v>
      </c>
      <c r="G152" s="16" t="s">
        <v>66</v>
      </c>
      <c r="H152" s="14">
        <v>2016</v>
      </c>
      <c r="I152" s="16" t="s">
        <v>301</v>
      </c>
      <c r="J152" s="16" t="s">
        <v>571</v>
      </c>
      <c r="K152" s="16" t="s">
        <v>513</v>
      </c>
      <c r="L152" s="16" t="s">
        <v>68</v>
      </c>
      <c r="M152" s="16">
        <v>-1</v>
      </c>
      <c r="N152" s="14">
        <v>90</v>
      </c>
      <c r="O152" s="14">
        <v>109</v>
      </c>
      <c r="P152" s="14">
        <v>99.5</v>
      </c>
      <c r="Q152" s="14">
        <v>10</v>
      </c>
      <c r="R152" s="17" t="str">
        <f>IF(Cleaned_DS_jobs!$Q152&lt;10,"little_age_company",IF(AND(Cleaned_DS_jobs!$Q152&gt;=10,Cleaned_DS_jobs!$Q152&lt;=20),"average_age_company","Big_age_company"))</f>
        <v>average_age_company</v>
      </c>
    </row>
    <row r="153" spans="1:18" ht="19.95" customHeight="1" x14ac:dyDescent="0.3">
      <c r="A153" s="18" t="s">
        <v>1671</v>
      </c>
      <c r="B153" s="19" t="s">
        <v>1708</v>
      </c>
      <c r="C153" s="19">
        <v>2.7</v>
      </c>
      <c r="D153" s="20" t="s">
        <v>2098</v>
      </c>
      <c r="E153" s="19" t="s">
        <v>371</v>
      </c>
      <c r="F153" s="21" t="s">
        <v>1800</v>
      </c>
      <c r="G153" s="21" t="s">
        <v>107</v>
      </c>
      <c r="H153" s="19">
        <v>1961</v>
      </c>
      <c r="I153" s="21" t="s">
        <v>53</v>
      </c>
      <c r="J153" s="21" t="s">
        <v>67</v>
      </c>
      <c r="K153" s="21" t="s">
        <v>67</v>
      </c>
      <c r="L153" s="21" t="s">
        <v>194</v>
      </c>
      <c r="M153" s="21">
        <v>-1</v>
      </c>
      <c r="N153" s="19">
        <v>90</v>
      </c>
      <c r="O153" s="19">
        <v>109</v>
      </c>
      <c r="P153" s="19">
        <v>99.5</v>
      </c>
      <c r="Q153" s="19">
        <v>65</v>
      </c>
      <c r="R153" s="22" t="str">
        <f>IF(Cleaned_DS_jobs!$Q153&lt;10,"little_age_company",IF(AND(Cleaned_DS_jobs!$Q153&gt;=10,Cleaned_DS_jobs!$Q153&lt;=20),"average_age_company","Big_age_company"))</f>
        <v>Big_age_company</v>
      </c>
    </row>
    <row r="154" spans="1:18" ht="19.95" customHeight="1" x14ac:dyDescent="0.3">
      <c r="A154" s="13" t="s">
        <v>189</v>
      </c>
      <c r="B154" s="14" t="s">
        <v>1708</v>
      </c>
      <c r="C154" s="14">
        <v>4.2</v>
      </c>
      <c r="D154" s="15" t="s">
        <v>2099</v>
      </c>
      <c r="E154" s="14" t="s">
        <v>577</v>
      </c>
      <c r="F154" s="16" t="s">
        <v>1829</v>
      </c>
      <c r="G154" s="16" t="s">
        <v>20</v>
      </c>
      <c r="H154" s="14">
        <v>2002</v>
      </c>
      <c r="I154" s="16" t="s">
        <v>53</v>
      </c>
      <c r="J154" s="16" t="s">
        <v>59</v>
      </c>
      <c r="K154" s="16" t="s">
        <v>60</v>
      </c>
      <c r="L154" s="16" t="s">
        <v>24</v>
      </c>
      <c r="M154" s="16">
        <v>-1</v>
      </c>
      <c r="N154" s="14">
        <v>90</v>
      </c>
      <c r="O154" s="14">
        <v>109</v>
      </c>
      <c r="P154" s="14">
        <v>99.5</v>
      </c>
      <c r="Q154" s="14">
        <v>24</v>
      </c>
      <c r="R154" s="17" t="str">
        <f>IF(Cleaned_DS_jobs!$Q154&lt;10,"little_age_company",IF(AND(Cleaned_DS_jobs!$Q154&gt;=10,Cleaned_DS_jobs!$Q154&lt;=20),"average_age_company","Big_age_company"))</f>
        <v>Big_age_company</v>
      </c>
    </row>
    <row r="155" spans="1:18" ht="19.95" customHeight="1" x14ac:dyDescent="0.3">
      <c r="A155" s="18" t="s">
        <v>578</v>
      </c>
      <c r="B155" s="19" t="s">
        <v>1708</v>
      </c>
      <c r="C155" s="19">
        <v>3.5</v>
      </c>
      <c r="D155" s="20" t="s">
        <v>2100</v>
      </c>
      <c r="E155" s="19" t="s">
        <v>581</v>
      </c>
      <c r="F155" s="21" t="s">
        <v>1830</v>
      </c>
      <c r="G155" s="21" t="s">
        <v>107</v>
      </c>
      <c r="H155" s="19">
        <v>1995</v>
      </c>
      <c r="I155" s="21" t="s">
        <v>53</v>
      </c>
      <c r="J155" s="21" t="s">
        <v>67</v>
      </c>
      <c r="K155" s="21" t="s">
        <v>67</v>
      </c>
      <c r="L155" s="21" t="s">
        <v>41</v>
      </c>
      <c r="M155" s="21">
        <v>-1</v>
      </c>
      <c r="N155" s="19">
        <v>90</v>
      </c>
      <c r="O155" s="19">
        <v>109</v>
      </c>
      <c r="P155" s="19">
        <v>99.5</v>
      </c>
      <c r="Q155" s="19">
        <v>31</v>
      </c>
      <c r="R155" s="22" t="str">
        <f>IF(Cleaned_DS_jobs!$Q155&lt;10,"little_age_company",IF(AND(Cleaned_DS_jobs!$Q155&gt;=10,Cleaned_DS_jobs!$Q155&lt;=20),"average_age_company","Big_age_company"))</f>
        <v>Big_age_company</v>
      </c>
    </row>
    <row r="156" spans="1:18" ht="19.95" customHeight="1" x14ac:dyDescent="0.3">
      <c r="A156" s="13" t="s">
        <v>1672</v>
      </c>
      <c r="B156" s="14" t="s">
        <v>1708</v>
      </c>
      <c r="C156" s="14">
        <v>-1</v>
      </c>
      <c r="D156" s="15" t="s">
        <v>584</v>
      </c>
      <c r="E156" s="14" t="s">
        <v>585</v>
      </c>
      <c r="F156" s="16">
        <v>-1</v>
      </c>
      <c r="G156" s="16" t="s">
        <v>1972</v>
      </c>
      <c r="H156" s="14">
        <v>-1</v>
      </c>
      <c r="I156" s="16" t="s">
        <v>1972</v>
      </c>
      <c r="J156" s="16" t="s">
        <v>1972</v>
      </c>
      <c r="K156" s="16" t="s">
        <v>1972</v>
      </c>
      <c r="L156" s="16" t="s">
        <v>1972</v>
      </c>
      <c r="M156" s="16">
        <v>-1</v>
      </c>
      <c r="N156" s="14">
        <v>90</v>
      </c>
      <c r="O156" s="14">
        <v>109</v>
      </c>
      <c r="P156" s="14">
        <v>99.5</v>
      </c>
      <c r="Q156" s="14">
        <v>-1</v>
      </c>
      <c r="R156" s="17" t="str">
        <f>IF(Cleaned_DS_jobs!$Q156&lt;10,"little_age_company",IF(AND(Cleaned_DS_jobs!$Q156&gt;=10,Cleaned_DS_jobs!$Q156&lt;=20),"average_age_company","Big_age_company"))</f>
        <v>little_age_company</v>
      </c>
    </row>
    <row r="157" spans="1:18" ht="19.95" customHeight="1" x14ac:dyDescent="0.3">
      <c r="A157" s="18" t="s">
        <v>15</v>
      </c>
      <c r="B157" s="19" t="s">
        <v>1708</v>
      </c>
      <c r="C157" s="19">
        <v>4.2</v>
      </c>
      <c r="D157" s="20" t="s">
        <v>2101</v>
      </c>
      <c r="E157" s="19" t="s">
        <v>91</v>
      </c>
      <c r="F157" s="21" t="s">
        <v>1831</v>
      </c>
      <c r="G157" s="21" t="s">
        <v>66</v>
      </c>
      <c r="H157" s="19">
        <v>1963</v>
      </c>
      <c r="I157" s="21" t="s">
        <v>53</v>
      </c>
      <c r="J157" s="21" t="s">
        <v>67</v>
      </c>
      <c r="K157" s="21" t="s">
        <v>67</v>
      </c>
      <c r="L157" s="21" t="s">
        <v>79</v>
      </c>
      <c r="M157" s="21">
        <v>-1</v>
      </c>
      <c r="N157" s="19">
        <v>90</v>
      </c>
      <c r="O157" s="19">
        <v>109</v>
      </c>
      <c r="P157" s="19">
        <v>99.5</v>
      </c>
      <c r="Q157" s="19">
        <v>63</v>
      </c>
      <c r="R157" s="22" t="str">
        <f>IF(Cleaned_DS_jobs!$Q157&lt;10,"little_age_company",IF(AND(Cleaned_DS_jobs!$Q157&gt;=10,Cleaned_DS_jobs!$Q157&lt;=20),"average_age_company","Big_age_company"))</f>
        <v>Big_age_company</v>
      </c>
    </row>
    <row r="158" spans="1:18" ht="19.95" customHeight="1" x14ac:dyDescent="0.3">
      <c r="A158" s="13" t="s">
        <v>26</v>
      </c>
      <c r="B158" s="14" t="s">
        <v>1709</v>
      </c>
      <c r="C158" s="14">
        <v>4.5</v>
      </c>
      <c r="D158" s="15" t="s">
        <v>1983</v>
      </c>
      <c r="E158" s="14" t="s">
        <v>30</v>
      </c>
      <c r="F158" s="16" t="s">
        <v>1753</v>
      </c>
      <c r="G158" s="16" t="s">
        <v>46</v>
      </c>
      <c r="H158" s="14">
        <v>2012</v>
      </c>
      <c r="I158" s="16" t="s">
        <v>53</v>
      </c>
      <c r="J158" s="16" t="s">
        <v>84</v>
      </c>
      <c r="K158" s="16" t="s">
        <v>60</v>
      </c>
      <c r="L158" s="16" t="s">
        <v>41</v>
      </c>
      <c r="M158" s="16" t="s">
        <v>88</v>
      </c>
      <c r="N158" s="14">
        <v>101</v>
      </c>
      <c r="O158" s="14">
        <v>165</v>
      </c>
      <c r="P158" s="14">
        <v>133</v>
      </c>
      <c r="Q158" s="14">
        <v>14</v>
      </c>
      <c r="R158" s="17" t="str">
        <f>IF(Cleaned_DS_jobs!$Q158&lt;10,"little_age_company",IF(AND(Cleaned_DS_jobs!$Q158&gt;=10,Cleaned_DS_jobs!$Q158&lt;=20),"average_age_company","Big_age_company"))</f>
        <v>average_age_company</v>
      </c>
    </row>
    <row r="159" spans="1:18" ht="19.95" customHeight="1" x14ac:dyDescent="0.3">
      <c r="A159" s="18" t="s">
        <v>113</v>
      </c>
      <c r="B159" s="19" t="s">
        <v>1709</v>
      </c>
      <c r="C159" s="19">
        <v>4.4000000000000004</v>
      </c>
      <c r="D159" s="20" t="s">
        <v>1988</v>
      </c>
      <c r="E159" s="19" t="s">
        <v>111</v>
      </c>
      <c r="F159" s="21" t="s">
        <v>1758</v>
      </c>
      <c r="G159" s="21" t="s">
        <v>117</v>
      </c>
      <c r="H159" s="19">
        <v>1997</v>
      </c>
      <c r="I159" s="21" t="s">
        <v>53</v>
      </c>
      <c r="J159" s="21" t="s">
        <v>118</v>
      </c>
      <c r="K159" s="21" t="s">
        <v>98</v>
      </c>
      <c r="L159" s="21" t="s">
        <v>24</v>
      </c>
      <c r="M159" s="21">
        <v>-1</v>
      </c>
      <c r="N159" s="19">
        <v>101</v>
      </c>
      <c r="O159" s="19">
        <v>165</v>
      </c>
      <c r="P159" s="19">
        <v>133</v>
      </c>
      <c r="Q159" s="19">
        <v>29</v>
      </c>
      <c r="R159" s="22" t="str">
        <f>IF(Cleaned_DS_jobs!$Q159&lt;10,"little_age_company",IF(AND(Cleaned_DS_jobs!$Q159&gt;=10,Cleaned_DS_jobs!$Q159&lt;=20),"average_age_company","Big_age_company"))</f>
        <v>Big_age_company</v>
      </c>
    </row>
    <row r="160" spans="1:18" ht="19.95" customHeight="1" x14ac:dyDescent="0.3">
      <c r="A160" s="13" t="s">
        <v>221</v>
      </c>
      <c r="B160" s="14" t="s">
        <v>1709</v>
      </c>
      <c r="C160" s="14">
        <v>-1</v>
      </c>
      <c r="D160" s="15" t="s">
        <v>591</v>
      </c>
      <c r="E160" s="14" t="s">
        <v>415</v>
      </c>
      <c r="F160" s="16">
        <v>-1</v>
      </c>
      <c r="G160" s="16" t="s">
        <v>1972</v>
      </c>
      <c r="H160" s="14">
        <v>-1</v>
      </c>
      <c r="I160" s="16" t="s">
        <v>1972</v>
      </c>
      <c r="J160" s="16" t="s">
        <v>1972</v>
      </c>
      <c r="K160" s="16" t="s">
        <v>1972</v>
      </c>
      <c r="L160" s="16" t="s">
        <v>1972</v>
      </c>
      <c r="M160" s="16">
        <v>-1</v>
      </c>
      <c r="N160" s="14">
        <v>101</v>
      </c>
      <c r="O160" s="14">
        <v>165</v>
      </c>
      <c r="P160" s="14">
        <v>133</v>
      </c>
      <c r="Q160" s="14">
        <v>-1</v>
      </c>
      <c r="R160" s="17" t="str">
        <f>IF(Cleaned_DS_jobs!$Q160&lt;10,"little_age_company",IF(AND(Cleaned_DS_jobs!$Q160&gt;=10,Cleaned_DS_jobs!$Q160&lt;=20),"average_age_company","Big_age_company"))</f>
        <v>little_age_company</v>
      </c>
    </row>
    <row r="161" spans="1:18" ht="19.95" customHeight="1" x14ac:dyDescent="0.3">
      <c r="A161" s="18" t="s">
        <v>26</v>
      </c>
      <c r="B161" s="19" t="s">
        <v>1709</v>
      </c>
      <c r="C161" s="19">
        <v>3.5</v>
      </c>
      <c r="D161" s="20" t="s">
        <v>2102</v>
      </c>
      <c r="E161" s="19" t="s">
        <v>594</v>
      </c>
      <c r="F161" s="21" t="s">
        <v>1806</v>
      </c>
      <c r="G161" s="21" t="s">
        <v>66</v>
      </c>
      <c r="H161" s="19">
        <v>1969</v>
      </c>
      <c r="I161" s="21" t="s">
        <v>32</v>
      </c>
      <c r="J161" s="21" t="s">
        <v>175</v>
      </c>
      <c r="K161" s="21" t="s">
        <v>175</v>
      </c>
      <c r="L161" s="21" t="s">
        <v>68</v>
      </c>
      <c r="M161" s="21">
        <v>-1</v>
      </c>
      <c r="N161" s="19">
        <v>101</v>
      </c>
      <c r="O161" s="19">
        <v>165</v>
      </c>
      <c r="P161" s="19">
        <v>133</v>
      </c>
      <c r="Q161" s="19">
        <v>57</v>
      </c>
      <c r="R161" s="22" t="str">
        <f>IF(Cleaned_DS_jobs!$Q161&lt;10,"little_age_company",IF(AND(Cleaned_DS_jobs!$Q161&gt;=10,Cleaned_DS_jobs!$Q161&lt;=20),"average_age_company","Big_age_company"))</f>
        <v>Big_age_company</v>
      </c>
    </row>
    <row r="162" spans="1:18" ht="19.95" customHeight="1" x14ac:dyDescent="0.3">
      <c r="A162" s="13" t="s">
        <v>26</v>
      </c>
      <c r="B162" s="14" t="s">
        <v>1709</v>
      </c>
      <c r="C162" s="14">
        <v>4.5</v>
      </c>
      <c r="D162" s="15" t="s">
        <v>2103</v>
      </c>
      <c r="E162" s="14" t="s">
        <v>143</v>
      </c>
      <c r="F162" s="16" t="s">
        <v>1763</v>
      </c>
      <c r="G162" s="16" t="s">
        <v>107</v>
      </c>
      <c r="H162" s="14">
        <v>2006</v>
      </c>
      <c r="I162" s="16" t="s">
        <v>53</v>
      </c>
      <c r="J162" s="16" t="s">
        <v>59</v>
      </c>
      <c r="K162" s="16" t="s">
        <v>60</v>
      </c>
      <c r="L162" s="16" t="s">
        <v>41</v>
      </c>
      <c r="M162" s="16" t="s">
        <v>597</v>
      </c>
      <c r="N162" s="14">
        <v>101</v>
      </c>
      <c r="O162" s="14">
        <v>165</v>
      </c>
      <c r="P162" s="14">
        <v>133</v>
      </c>
      <c r="Q162" s="14">
        <v>20</v>
      </c>
      <c r="R162" s="17" t="str">
        <f>IF(Cleaned_DS_jobs!$Q162&lt;10,"little_age_company",IF(AND(Cleaned_DS_jobs!$Q162&gt;=10,Cleaned_DS_jobs!$Q162&lt;=20),"average_age_company","Big_age_company"))</f>
        <v>average_age_company</v>
      </c>
    </row>
    <row r="163" spans="1:18" ht="19.95" customHeight="1" x14ac:dyDescent="0.3">
      <c r="A163" s="18" t="s">
        <v>598</v>
      </c>
      <c r="B163" s="19" t="s">
        <v>1709</v>
      </c>
      <c r="C163" s="19">
        <v>4.0999999999999996</v>
      </c>
      <c r="D163" s="20" t="s">
        <v>2104</v>
      </c>
      <c r="E163" s="19" t="s">
        <v>601</v>
      </c>
      <c r="F163" s="21" t="s">
        <v>1832</v>
      </c>
      <c r="G163" s="21" t="s">
        <v>20</v>
      </c>
      <c r="H163" s="19">
        <v>1946</v>
      </c>
      <c r="I163" s="21" t="s">
        <v>53</v>
      </c>
      <c r="J163" s="21" t="s">
        <v>22</v>
      </c>
      <c r="K163" s="21" t="s">
        <v>23</v>
      </c>
      <c r="L163" s="21" t="s">
        <v>35</v>
      </c>
      <c r="M163" s="21">
        <v>-1</v>
      </c>
      <c r="N163" s="19">
        <v>101</v>
      </c>
      <c r="O163" s="19">
        <v>165</v>
      </c>
      <c r="P163" s="19">
        <v>133</v>
      </c>
      <c r="Q163" s="19">
        <v>80</v>
      </c>
      <c r="R163" s="22" t="str">
        <f>IF(Cleaned_DS_jobs!$Q163&lt;10,"little_age_company",IF(AND(Cleaned_DS_jobs!$Q163&gt;=10,Cleaned_DS_jobs!$Q163&lt;=20),"average_age_company","Big_age_company"))</f>
        <v>Big_age_company</v>
      </c>
    </row>
    <row r="164" spans="1:18" ht="19.95" customHeight="1" x14ac:dyDescent="0.3">
      <c r="A164" s="13" t="s">
        <v>602</v>
      </c>
      <c r="B164" s="14" t="s">
        <v>1709</v>
      </c>
      <c r="C164" s="14">
        <v>3.5</v>
      </c>
      <c r="D164" s="15" t="s">
        <v>2071</v>
      </c>
      <c r="E164" s="14" t="s">
        <v>29</v>
      </c>
      <c r="F164" s="16" t="s">
        <v>1815</v>
      </c>
      <c r="G164" s="16" t="s">
        <v>31</v>
      </c>
      <c r="H164" s="14">
        <v>-1</v>
      </c>
      <c r="I164" s="16" t="s">
        <v>32</v>
      </c>
      <c r="J164" s="16" t="s">
        <v>175</v>
      </c>
      <c r="K164" s="16" t="s">
        <v>175</v>
      </c>
      <c r="L164" s="16" t="s">
        <v>79</v>
      </c>
      <c r="M164" s="16">
        <v>-1</v>
      </c>
      <c r="N164" s="14">
        <v>101</v>
      </c>
      <c r="O164" s="14">
        <v>165</v>
      </c>
      <c r="P164" s="14">
        <v>133</v>
      </c>
      <c r="Q164" s="14">
        <v>-1</v>
      </c>
      <c r="R164" s="17" t="str">
        <f>IF(Cleaned_DS_jobs!$Q164&lt;10,"little_age_company",IF(AND(Cleaned_DS_jobs!$Q164&gt;=10,Cleaned_DS_jobs!$Q164&lt;=20),"average_age_company","Big_age_company"))</f>
        <v>little_age_company</v>
      </c>
    </row>
    <row r="165" spans="1:18" ht="19.95" customHeight="1" x14ac:dyDescent="0.3">
      <c r="A165" s="18" t="s">
        <v>218</v>
      </c>
      <c r="B165" s="19" t="s">
        <v>1709</v>
      </c>
      <c r="C165" s="19">
        <v>2.7</v>
      </c>
      <c r="D165" s="20" t="s">
        <v>2105</v>
      </c>
      <c r="E165" s="19" t="s">
        <v>111</v>
      </c>
      <c r="F165" s="21" t="s">
        <v>1759</v>
      </c>
      <c r="G165" s="21" t="s">
        <v>46</v>
      </c>
      <c r="H165" s="19">
        <v>1997</v>
      </c>
      <c r="I165" s="21" t="s">
        <v>21</v>
      </c>
      <c r="J165" s="21" t="s">
        <v>512</v>
      </c>
      <c r="K165" s="21" t="s">
        <v>513</v>
      </c>
      <c r="L165" s="21" t="s">
        <v>164</v>
      </c>
      <c r="M165" s="21">
        <v>-1</v>
      </c>
      <c r="N165" s="19">
        <v>101</v>
      </c>
      <c r="O165" s="19">
        <v>165</v>
      </c>
      <c r="P165" s="19">
        <v>133</v>
      </c>
      <c r="Q165" s="19">
        <v>29</v>
      </c>
      <c r="R165" s="22" t="str">
        <f>IF(Cleaned_DS_jobs!$Q165&lt;10,"little_age_company",IF(AND(Cleaned_DS_jobs!$Q165&gt;=10,Cleaned_DS_jobs!$Q165&lt;=20),"average_age_company","Big_age_company"))</f>
        <v>Big_age_company</v>
      </c>
    </row>
    <row r="166" spans="1:18" ht="19.95" customHeight="1" x14ac:dyDescent="0.3">
      <c r="A166" s="13" t="s">
        <v>606</v>
      </c>
      <c r="B166" s="14" t="s">
        <v>1709</v>
      </c>
      <c r="C166" s="14">
        <v>3.4</v>
      </c>
      <c r="D166" s="15" t="s">
        <v>2106</v>
      </c>
      <c r="E166" s="14" t="s">
        <v>609</v>
      </c>
      <c r="F166" s="16" t="s">
        <v>1833</v>
      </c>
      <c r="G166" s="16" t="s">
        <v>66</v>
      </c>
      <c r="H166" s="14">
        <v>1996</v>
      </c>
      <c r="I166" s="16" t="s">
        <v>301</v>
      </c>
      <c r="J166" s="16" t="s">
        <v>92</v>
      </c>
      <c r="K166" s="16" t="s">
        <v>60</v>
      </c>
      <c r="L166" s="16" t="s">
        <v>68</v>
      </c>
      <c r="M166" s="16" t="s">
        <v>611</v>
      </c>
      <c r="N166" s="14">
        <v>101</v>
      </c>
      <c r="O166" s="14">
        <v>165</v>
      </c>
      <c r="P166" s="14">
        <v>133</v>
      </c>
      <c r="Q166" s="14">
        <v>30</v>
      </c>
      <c r="R166" s="17" t="str">
        <f>IF(Cleaned_DS_jobs!$Q166&lt;10,"little_age_company",IF(AND(Cleaned_DS_jobs!$Q166&gt;=10,Cleaned_DS_jobs!$Q166&lt;=20),"average_age_company","Big_age_company"))</f>
        <v>Big_age_company</v>
      </c>
    </row>
    <row r="167" spans="1:18" ht="19.95" customHeight="1" x14ac:dyDescent="0.3">
      <c r="A167" s="18" t="s">
        <v>26</v>
      </c>
      <c r="B167" s="19" t="s">
        <v>1709</v>
      </c>
      <c r="C167" s="19">
        <v>4.4000000000000004</v>
      </c>
      <c r="D167" s="20" t="s">
        <v>2107</v>
      </c>
      <c r="E167" s="19" t="s">
        <v>449</v>
      </c>
      <c r="F167" s="21" t="s">
        <v>1834</v>
      </c>
      <c r="G167" s="21" t="s">
        <v>107</v>
      </c>
      <c r="H167" s="19">
        <v>2015</v>
      </c>
      <c r="I167" s="21" t="s">
        <v>53</v>
      </c>
      <c r="J167" s="21" t="s">
        <v>614</v>
      </c>
      <c r="K167" s="21" t="s">
        <v>614</v>
      </c>
      <c r="L167" s="21" t="s">
        <v>24</v>
      </c>
      <c r="M167" s="21">
        <v>-1</v>
      </c>
      <c r="N167" s="19">
        <v>101</v>
      </c>
      <c r="O167" s="19">
        <v>165</v>
      </c>
      <c r="P167" s="19">
        <v>133</v>
      </c>
      <c r="Q167" s="19">
        <v>11</v>
      </c>
      <c r="R167" s="22" t="str">
        <f>IF(Cleaned_DS_jobs!$Q167&lt;10,"little_age_company",IF(AND(Cleaned_DS_jobs!$Q167&gt;=10,Cleaned_DS_jobs!$Q167&lt;=20),"average_age_company","Big_age_company"))</f>
        <v>average_age_company</v>
      </c>
    </row>
    <row r="168" spans="1:18" ht="19.95" customHeight="1" x14ac:dyDescent="0.3">
      <c r="A168" s="13" t="s">
        <v>615</v>
      </c>
      <c r="B168" s="14" t="s">
        <v>1709</v>
      </c>
      <c r="C168" s="14">
        <v>4</v>
      </c>
      <c r="D168" s="15" t="s">
        <v>2040</v>
      </c>
      <c r="E168" s="14" t="s">
        <v>143</v>
      </c>
      <c r="F168" s="16" t="s">
        <v>1792</v>
      </c>
      <c r="G168" s="16" t="s">
        <v>31</v>
      </c>
      <c r="H168" s="14">
        <v>1982</v>
      </c>
      <c r="I168" s="16" t="s">
        <v>32</v>
      </c>
      <c r="J168" s="16" t="s">
        <v>59</v>
      </c>
      <c r="K168" s="16" t="s">
        <v>60</v>
      </c>
      <c r="L168" s="16" t="s">
        <v>79</v>
      </c>
      <c r="M168" s="16">
        <v>-1</v>
      </c>
      <c r="N168" s="14">
        <v>101</v>
      </c>
      <c r="O168" s="14">
        <v>165</v>
      </c>
      <c r="P168" s="14">
        <v>133</v>
      </c>
      <c r="Q168" s="14">
        <v>44</v>
      </c>
      <c r="R168" s="17" t="str">
        <f>IF(Cleaned_DS_jobs!$Q168&lt;10,"little_age_company",IF(AND(Cleaned_DS_jobs!$Q168&gt;=10,Cleaned_DS_jobs!$Q168&lt;=20),"average_age_company","Big_age_company"))</f>
        <v>Big_age_company</v>
      </c>
    </row>
    <row r="169" spans="1:18" ht="19.95" customHeight="1" x14ac:dyDescent="0.3">
      <c r="A169" s="18" t="s">
        <v>615</v>
      </c>
      <c r="B169" s="19" t="s">
        <v>1709</v>
      </c>
      <c r="C169" s="19">
        <v>4.2</v>
      </c>
      <c r="D169" s="20" t="s">
        <v>2040</v>
      </c>
      <c r="E169" s="19" t="s">
        <v>143</v>
      </c>
      <c r="F169" s="21" t="s">
        <v>1745</v>
      </c>
      <c r="G169" s="21" t="s">
        <v>31</v>
      </c>
      <c r="H169" s="19">
        <v>1968</v>
      </c>
      <c r="I169" s="21" t="s">
        <v>32</v>
      </c>
      <c r="J169" s="21" t="s">
        <v>33</v>
      </c>
      <c r="K169" s="21" t="s">
        <v>34</v>
      </c>
      <c r="L169" s="21" t="s">
        <v>35</v>
      </c>
      <c r="M169" s="21">
        <v>-1</v>
      </c>
      <c r="N169" s="19">
        <v>101</v>
      </c>
      <c r="O169" s="19">
        <v>165</v>
      </c>
      <c r="P169" s="19">
        <v>133</v>
      </c>
      <c r="Q169" s="19">
        <v>58</v>
      </c>
      <c r="R169" s="22" t="str">
        <f>IF(Cleaned_DS_jobs!$Q169&lt;10,"little_age_company",IF(AND(Cleaned_DS_jobs!$Q169&gt;=10,Cleaned_DS_jobs!$Q169&lt;=20),"average_age_company","Big_age_company"))</f>
        <v>Big_age_company</v>
      </c>
    </row>
    <row r="170" spans="1:18" ht="19.95" customHeight="1" x14ac:dyDescent="0.3">
      <c r="A170" s="13" t="s">
        <v>189</v>
      </c>
      <c r="B170" s="14" t="s">
        <v>1709</v>
      </c>
      <c r="C170" s="14">
        <v>3.5</v>
      </c>
      <c r="D170" s="15" t="s">
        <v>2108</v>
      </c>
      <c r="E170" s="14" t="s">
        <v>620</v>
      </c>
      <c r="F170" s="16" t="s">
        <v>1835</v>
      </c>
      <c r="G170" s="16" t="s">
        <v>66</v>
      </c>
      <c r="H170" s="14">
        <v>1957</v>
      </c>
      <c r="I170" s="16" t="s">
        <v>32</v>
      </c>
      <c r="J170" s="16" t="s">
        <v>1972</v>
      </c>
      <c r="K170" s="16" t="s">
        <v>1972</v>
      </c>
      <c r="L170" s="16" t="s">
        <v>68</v>
      </c>
      <c r="M170" s="16" t="s">
        <v>622</v>
      </c>
      <c r="N170" s="14">
        <v>101</v>
      </c>
      <c r="O170" s="14">
        <v>165</v>
      </c>
      <c r="P170" s="14">
        <v>133</v>
      </c>
      <c r="Q170" s="14">
        <v>69</v>
      </c>
      <c r="R170" s="17" t="str">
        <f>IF(Cleaned_DS_jobs!$Q170&lt;10,"little_age_company",IF(AND(Cleaned_DS_jobs!$Q170&gt;=10,Cleaned_DS_jobs!$Q170&lt;=20),"average_age_company","Big_age_company"))</f>
        <v>Big_age_company</v>
      </c>
    </row>
    <row r="171" spans="1:18" ht="19.95" customHeight="1" x14ac:dyDescent="0.3">
      <c r="A171" s="18" t="s">
        <v>623</v>
      </c>
      <c r="B171" s="19" t="s">
        <v>1709</v>
      </c>
      <c r="C171" s="19">
        <v>2.2999999999999998</v>
      </c>
      <c r="D171" s="20" t="s">
        <v>2109</v>
      </c>
      <c r="E171" s="19" t="s">
        <v>626</v>
      </c>
      <c r="F171" s="21" t="s">
        <v>1836</v>
      </c>
      <c r="G171" s="21" t="s">
        <v>20</v>
      </c>
      <c r="H171" s="19">
        <v>2003</v>
      </c>
      <c r="I171" s="21" t="s">
        <v>425</v>
      </c>
      <c r="J171" s="21" t="s">
        <v>67</v>
      </c>
      <c r="K171" s="21" t="s">
        <v>67</v>
      </c>
      <c r="L171" s="21" t="s">
        <v>41</v>
      </c>
      <c r="M171" s="21" t="s">
        <v>627</v>
      </c>
      <c r="N171" s="19">
        <v>101</v>
      </c>
      <c r="O171" s="19">
        <v>165</v>
      </c>
      <c r="P171" s="19">
        <v>133</v>
      </c>
      <c r="Q171" s="19">
        <v>23</v>
      </c>
      <c r="R171" s="22" t="str">
        <f>IF(Cleaned_DS_jobs!$Q171&lt;10,"little_age_company",IF(AND(Cleaned_DS_jobs!$Q171&gt;=10,Cleaned_DS_jobs!$Q171&lt;=20),"average_age_company","Big_age_company"))</f>
        <v>Big_age_company</v>
      </c>
    </row>
    <row r="172" spans="1:18" ht="19.95" customHeight="1" x14ac:dyDescent="0.3">
      <c r="A172" s="13" t="s">
        <v>26</v>
      </c>
      <c r="B172" s="14" t="s">
        <v>1709</v>
      </c>
      <c r="C172" s="14">
        <v>3.4</v>
      </c>
      <c r="D172" s="15" t="s">
        <v>2110</v>
      </c>
      <c r="E172" s="14" t="s">
        <v>83</v>
      </c>
      <c r="F172" s="16" t="s">
        <v>1837</v>
      </c>
      <c r="G172" s="16" t="s">
        <v>31</v>
      </c>
      <c r="H172" s="14">
        <v>1946</v>
      </c>
      <c r="I172" s="16" t="s">
        <v>32</v>
      </c>
      <c r="J172" s="16" t="s">
        <v>286</v>
      </c>
      <c r="K172" s="16" t="s">
        <v>34</v>
      </c>
      <c r="L172" s="16" t="s">
        <v>132</v>
      </c>
      <c r="M172" s="16" t="s">
        <v>631</v>
      </c>
      <c r="N172" s="14">
        <v>101</v>
      </c>
      <c r="O172" s="14">
        <v>165</v>
      </c>
      <c r="P172" s="14">
        <v>133</v>
      </c>
      <c r="Q172" s="14">
        <v>80</v>
      </c>
      <c r="R172" s="17" t="str">
        <f>IF(Cleaned_DS_jobs!$Q172&lt;10,"little_age_company",IF(AND(Cleaned_DS_jobs!$Q172&gt;=10,Cleaned_DS_jobs!$Q172&lt;=20),"average_age_company","Big_age_company"))</f>
        <v>Big_age_company</v>
      </c>
    </row>
    <row r="173" spans="1:18" ht="19.95" customHeight="1" x14ac:dyDescent="0.3">
      <c r="A173" s="18" t="s">
        <v>1673</v>
      </c>
      <c r="B173" s="19" t="s">
        <v>1709</v>
      </c>
      <c r="C173" s="19">
        <v>3.3</v>
      </c>
      <c r="D173" s="20" t="s">
        <v>2037</v>
      </c>
      <c r="E173" s="19" t="s">
        <v>328</v>
      </c>
      <c r="F173" s="21" t="s">
        <v>1752</v>
      </c>
      <c r="G173" s="21" t="s">
        <v>46</v>
      </c>
      <c r="H173" s="19">
        <v>2015</v>
      </c>
      <c r="I173" s="21" t="s">
        <v>53</v>
      </c>
      <c r="J173" s="21" t="s">
        <v>67</v>
      </c>
      <c r="K173" s="21" t="s">
        <v>67</v>
      </c>
      <c r="L173" s="21" t="s">
        <v>24</v>
      </c>
      <c r="M173" s="21">
        <v>-1</v>
      </c>
      <c r="N173" s="19">
        <v>101</v>
      </c>
      <c r="O173" s="19">
        <v>165</v>
      </c>
      <c r="P173" s="19">
        <v>133</v>
      </c>
      <c r="Q173" s="19">
        <v>11</v>
      </c>
      <c r="R173" s="22" t="str">
        <f>IF(Cleaned_DS_jobs!$Q173&lt;10,"little_age_company",IF(AND(Cleaned_DS_jobs!$Q173&gt;=10,Cleaned_DS_jobs!$Q173&lt;=20),"average_age_company","Big_age_company"))</f>
        <v>average_age_company</v>
      </c>
    </row>
    <row r="174" spans="1:18" ht="19.95" customHeight="1" x14ac:dyDescent="0.3">
      <c r="A174" s="13" t="s">
        <v>26</v>
      </c>
      <c r="B174" s="14" t="s">
        <v>1709</v>
      </c>
      <c r="C174" s="14">
        <v>4.7</v>
      </c>
      <c r="D174" s="15" t="s">
        <v>2111</v>
      </c>
      <c r="E174" s="14" t="s">
        <v>328</v>
      </c>
      <c r="F174" s="16" t="s">
        <v>1838</v>
      </c>
      <c r="G174" s="16" t="s">
        <v>107</v>
      </c>
      <c r="H174" s="14">
        <v>2009</v>
      </c>
      <c r="I174" s="16" t="s">
        <v>53</v>
      </c>
      <c r="J174" s="16" t="s">
        <v>84</v>
      </c>
      <c r="K174" s="16" t="s">
        <v>60</v>
      </c>
      <c r="L174" s="16" t="s">
        <v>41</v>
      </c>
      <c r="M174" s="16" t="s">
        <v>636</v>
      </c>
      <c r="N174" s="14">
        <v>101</v>
      </c>
      <c r="O174" s="14">
        <v>165</v>
      </c>
      <c r="P174" s="14">
        <v>133</v>
      </c>
      <c r="Q174" s="14">
        <v>17</v>
      </c>
      <c r="R174" s="17" t="str">
        <f>IF(Cleaned_DS_jobs!$Q174&lt;10,"little_age_company",IF(AND(Cleaned_DS_jobs!$Q174&gt;=10,Cleaned_DS_jobs!$Q174&lt;=20),"average_age_company","Big_age_company"))</f>
        <v>average_age_company</v>
      </c>
    </row>
    <row r="175" spans="1:18" ht="19.95" customHeight="1" x14ac:dyDescent="0.3">
      <c r="A175" s="18" t="s">
        <v>637</v>
      </c>
      <c r="B175" s="19" t="s">
        <v>1709</v>
      </c>
      <c r="C175" s="19">
        <v>3.9</v>
      </c>
      <c r="D175" s="20" t="s">
        <v>2112</v>
      </c>
      <c r="E175" s="19" t="s">
        <v>19</v>
      </c>
      <c r="F175" s="21" t="s">
        <v>1744</v>
      </c>
      <c r="G175" s="21" t="s">
        <v>107</v>
      </c>
      <c r="H175" s="19">
        <v>2014</v>
      </c>
      <c r="I175" s="21" t="s">
        <v>53</v>
      </c>
      <c r="J175" s="21" t="s">
        <v>84</v>
      </c>
      <c r="K175" s="21" t="s">
        <v>60</v>
      </c>
      <c r="L175" s="21" t="s">
        <v>24</v>
      </c>
      <c r="M175" s="21">
        <v>-1</v>
      </c>
      <c r="N175" s="19">
        <v>101</v>
      </c>
      <c r="O175" s="19">
        <v>165</v>
      </c>
      <c r="P175" s="19">
        <v>133</v>
      </c>
      <c r="Q175" s="19">
        <v>12</v>
      </c>
      <c r="R175" s="22" t="str">
        <f>IF(Cleaned_DS_jobs!$Q175&lt;10,"little_age_company",IF(AND(Cleaned_DS_jobs!$Q175&gt;=10,Cleaned_DS_jobs!$Q175&lt;=20),"average_age_company","Big_age_company"))</f>
        <v>average_age_company</v>
      </c>
    </row>
    <row r="176" spans="1:18" ht="19.95" customHeight="1" x14ac:dyDescent="0.3">
      <c r="A176" s="13" t="s">
        <v>218</v>
      </c>
      <c r="B176" s="14" t="s">
        <v>1709</v>
      </c>
      <c r="C176" s="14">
        <v>3.3</v>
      </c>
      <c r="D176" s="15" t="s">
        <v>2113</v>
      </c>
      <c r="E176" s="14" t="s">
        <v>77</v>
      </c>
      <c r="F176" s="16" t="s">
        <v>1826</v>
      </c>
      <c r="G176" s="16" t="s">
        <v>20</v>
      </c>
      <c r="H176" s="14">
        <v>1953</v>
      </c>
      <c r="I176" s="16" t="s">
        <v>301</v>
      </c>
      <c r="J176" s="16" t="s">
        <v>411</v>
      </c>
      <c r="K176" s="16" t="s">
        <v>170</v>
      </c>
      <c r="L176" s="16" t="s">
        <v>35</v>
      </c>
      <c r="M176" s="16" t="s">
        <v>642</v>
      </c>
      <c r="N176" s="14">
        <v>101</v>
      </c>
      <c r="O176" s="14">
        <v>165</v>
      </c>
      <c r="P176" s="14">
        <v>133</v>
      </c>
      <c r="Q176" s="14">
        <v>73</v>
      </c>
      <c r="R176" s="17" t="str">
        <f>IF(Cleaned_DS_jobs!$Q176&lt;10,"little_age_company",IF(AND(Cleaned_DS_jobs!$Q176&gt;=10,Cleaned_DS_jobs!$Q176&lt;=20),"average_age_company","Big_age_company"))</f>
        <v>Big_age_company</v>
      </c>
    </row>
    <row r="177" spans="1:18" ht="19.95" customHeight="1" x14ac:dyDescent="0.3">
      <c r="A177" s="18" t="s">
        <v>643</v>
      </c>
      <c r="B177" s="19" t="s">
        <v>1709</v>
      </c>
      <c r="C177" s="19">
        <v>3.3</v>
      </c>
      <c r="D177" s="20" t="s">
        <v>2037</v>
      </c>
      <c r="E177" s="19" t="s">
        <v>83</v>
      </c>
      <c r="F177" s="21" t="s">
        <v>1752</v>
      </c>
      <c r="G177" s="21" t="s">
        <v>46</v>
      </c>
      <c r="H177" s="19">
        <v>2015</v>
      </c>
      <c r="I177" s="21" t="s">
        <v>53</v>
      </c>
      <c r="J177" s="21" t="s">
        <v>67</v>
      </c>
      <c r="K177" s="21" t="s">
        <v>67</v>
      </c>
      <c r="L177" s="21" t="s">
        <v>24</v>
      </c>
      <c r="M177" s="21">
        <v>-1</v>
      </c>
      <c r="N177" s="19">
        <v>101</v>
      </c>
      <c r="O177" s="19">
        <v>165</v>
      </c>
      <c r="P177" s="19">
        <v>133</v>
      </c>
      <c r="Q177" s="19">
        <v>11</v>
      </c>
      <c r="R177" s="22" t="str">
        <f>IF(Cleaned_DS_jobs!$Q177&lt;10,"little_age_company",IF(AND(Cleaned_DS_jobs!$Q177&gt;=10,Cleaned_DS_jobs!$Q177&lt;=20),"average_age_company","Big_age_company"))</f>
        <v>average_age_company</v>
      </c>
    </row>
    <row r="178" spans="1:18" ht="19.95" customHeight="1" x14ac:dyDescent="0.3">
      <c r="A178" s="13" t="s">
        <v>189</v>
      </c>
      <c r="B178" s="14" t="s">
        <v>1709</v>
      </c>
      <c r="C178" s="14">
        <v>4.4000000000000004</v>
      </c>
      <c r="D178" s="15" t="s">
        <v>2114</v>
      </c>
      <c r="E178" s="14" t="s">
        <v>647</v>
      </c>
      <c r="F178" s="16" t="s">
        <v>1839</v>
      </c>
      <c r="G178" s="16" t="s">
        <v>107</v>
      </c>
      <c r="H178" s="14">
        <v>1998</v>
      </c>
      <c r="I178" s="16" t="s">
        <v>53</v>
      </c>
      <c r="J178" s="16" t="s">
        <v>649</v>
      </c>
      <c r="K178" s="16" t="s">
        <v>170</v>
      </c>
      <c r="L178" s="16" t="s">
        <v>194</v>
      </c>
      <c r="M178" s="16">
        <v>-1</v>
      </c>
      <c r="N178" s="14">
        <v>101</v>
      </c>
      <c r="O178" s="14">
        <v>165</v>
      </c>
      <c r="P178" s="14">
        <v>133</v>
      </c>
      <c r="Q178" s="14">
        <v>28</v>
      </c>
      <c r="R178" s="17" t="str">
        <f>IF(Cleaned_DS_jobs!$Q178&lt;10,"little_age_company",IF(AND(Cleaned_DS_jobs!$Q178&gt;=10,Cleaned_DS_jobs!$Q178&lt;=20),"average_age_company","Big_age_company"))</f>
        <v>Big_age_company</v>
      </c>
    </row>
    <row r="179" spans="1:18" ht="19.95" customHeight="1" x14ac:dyDescent="0.3">
      <c r="A179" s="18" t="s">
        <v>94</v>
      </c>
      <c r="B179" s="19" t="s">
        <v>1710</v>
      </c>
      <c r="C179" s="19">
        <v>3.7</v>
      </c>
      <c r="D179" s="20" t="s">
        <v>1985</v>
      </c>
      <c r="E179" s="19" t="s">
        <v>97</v>
      </c>
      <c r="F179" s="21" t="s">
        <v>1755</v>
      </c>
      <c r="G179" s="21" t="s">
        <v>20</v>
      </c>
      <c r="H179" s="19">
        <v>1965</v>
      </c>
      <c r="I179" s="21" t="s">
        <v>98</v>
      </c>
      <c r="J179" s="21" t="s">
        <v>99</v>
      </c>
      <c r="K179" s="21" t="s">
        <v>100</v>
      </c>
      <c r="L179" s="21" t="s">
        <v>101</v>
      </c>
      <c r="M179" s="21" t="s">
        <v>102</v>
      </c>
      <c r="N179" s="19">
        <v>56</v>
      </c>
      <c r="O179" s="19">
        <v>97</v>
      </c>
      <c r="P179" s="19">
        <v>76.5</v>
      </c>
      <c r="Q179" s="19">
        <v>61</v>
      </c>
      <c r="R179" s="22" t="str">
        <f>IF(Cleaned_DS_jobs!$Q179&lt;10,"little_age_company",IF(AND(Cleaned_DS_jobs!$Q179&gt;=10,Cleaned_DS_jobs!$Q179&lt;=20),"average_age_company","Big_age_company"))</f>
        <v>Big_age_company</v>
      </c>
    </row>
    <row r="180" spans="1:18" ht="19.95" customHeight="1" x14ac:dyDescent="0.3">
      <c r="A180" s="13" t="s">
        <v>26</v>
      </c>
      <c r="B180" s="14" t="s">
        <v>1710</v>
      </c>
      <c r="C180" s="14">
        <v>3.5</v>
      </c>
      <c r="D180" s="15" t="s">
        <v>1990</v>
      </c>
      <c r="E180" s="14" t="s">
        <v>126</v>
      </c>
      <c r="F180" s="16" t="s">
        <v>1760</v>
      </c>
      <c r="G180" s="16" t="s">
        <v>20</v>
      </c>
      <c r="H180" s="14">
        <v>1945</v>
      </c>
      <c r="I180" s="16" t="s">
        <v>53</v>
      </c>
      <c r="J180" s="16" t="s">
        <v>108</v>
      </c>
      <c r="K180" s="16" t="s">
        <v>48</v>
      </c>
      <c r="L180" s="16" t="s">
        <v>101</v>
      </c>
      <c r="M180" s="16">
        <v>-1</v>
      </c>
      <c r="N180" s="14">
        <v>56</v>
      </c>
      <c r="O180" s="14">
        <v>97</v>
      </c>
      <c r="P180" s="14">
        <v>76.5</v>
      </c>
      <c r="Q180" s="14">
        <v>81</v>
      </c>
      <c r="R180" s="17" t="str">
        <f>IF(Cleaned_DS_jobs!$Q180&lt;10,"little_age_company",IF(AND(Cleaned_DS_jobs!$Q180&gt;=10,Cleaned_DS_jobs!$Q180&lt;=20),"average_age_company","Big_age_company"))</f>
        <v>Big_age_company</v>
      </c>
    </row>
    <row r="181" spans="1:18" ht="19.95" customHeight="1" x14ac:dyDescent="0.3">
      <c r="A181" s="18" t="s">
        <v>221</v>
      </c>
      <c r="B181" s="19" t="s">
        <v>1710</v>
      </c>
      <c r="C181" s="19">
        <v>3.6</v>
      </c>
      <c r="D181" s="20" t="s">
        <v>1990</v>
      </c>
      <c r="E181" s="19" t="s">
        <v>126</v>
      </c>
      <c r="F181" s="21" t="s">
        <v>1840</v>
      </c>
      <c r="G181" s="21" t="s">
        <v>46</v>
      </c>
      <c r="H181" s="19">
        <v>1967</v>
      </c>
      <c r="I181" s="21" t="s">
        <v>21</v>
      </c>
      <c r="J181" s="21" t="s">
        <v>118</v>
      </c>
      <c r="K181" s="21" t="s">
        <v>98</v>
      </c>
      <c r="L181" s="21" t="s">
        <v>194</v>
      </c>
      <c r="M181" s="21">
        <v>-1</v>
      </c>
      <c r="N181" s="19">
        <v>56</v>
      </c>
      <c r="O181" s="19">
        <v>97</v>
      </c>
      <c r="P181" s="19">
        <v>76.5</v>
      </c>
      <c r="Q181" s="19">
        <v>59</v>
      </c>
      <c r="R181" s="22" t="str">
        <f>IF(Cleaned_DS_jobs!$Q181&lt;10,"little_age_company",IF(AND(Cleaned_DS_jobs!$Q181&gt;=10,Cleaned_DS_jobs!$Q181&lt;=20),"average_age_company","Big_age_company"))</f>
        <v>Big_age_company</v>
      </c>
    </row>
    <row r="182" spans="1:18" ht="19.95" customHeight="1" x14ac:dyDescent="0.3">
      <c r="A182" s="13" t="s">
        <v>653</v>
      </c>
      <c r="B182" s="14" t="s">
        <v>1710</v>
      </c>
      <c r="C182" s="14">
        <v>3.8</v>
      </c>
      <c r="D182" s="15" t="s">
        <v>2092</v>
      </c>
      <c r="E182" s="14" t="s">
        <v>492</v>
      </c>
      <c r="F182" s="16" t="s">
        <v>1818</v>
      </c>
      <c r="G182" s="16" t="s">
        <v>46</v>
      </c>
      <c r="H182" s="14">
        <v>2013</v>
      </c>
      <c r="I182" s="16" t="s">
        <v>301</v>
      </c>
      <c r="J182" s="16" t="s">
        <v>67</v>
      </c>
      <c r="K182" s="16" t="s">
        <v>67</v>
      </c>
      <c r="L182" s="16" t="s">
        <v>41</v>
      </c>
      <c r="M182" s="16" t="s">
        <v>552</v>
      </c>
      <c r="N182" s="14">
        <v>56</v>
      </c>
      <c r="O182" s="14">
        <v>97</v>
      </c>
      <c r="P182" s="14">
        <v>76.5</v>
      </c>
      <c r="Q182" s="14">
        <v>13</v>
      </c>
      <c r="R182" s="17" t="str">
        <f>IF(Cleaned_DS_jobs!$Q182&lt;10,"little_age_company",IF(AND(Cleaned_DS_jobs!$Q182&gt;=10,Cleaned_DS_jobs!$Q182&lt;=20),"average_age_company","Big_age_company"))</f>
        <v>average_age_company</v>
      </c>
    </row>
    <row r="183" spans="1:18" ht="19.95" customHeight="1" x14ac:dyDescent="0.3">
      <c r="A183" s="18" t="s">
        <v>1674</v>
      </c>
      <c r="B183" s="19" t="s">
        <v>1710</v>
      </c>
      <c r="C183" s="19">
        <v>4.7</v>
      </c>
      <c r="D183" s="20" t="s">
        <v>2115</v>
      </c>
      <c r="E183" s="19" t="s">
        <v>658</v>
      </c>
      <c r="F183" s="21" t="s">
        <v>1841</v>
      </c>
      <c r="G183" s="21" t="s">
        <v>107</v>
      </c>
      <c r="H183" s="19">
        <v>1997</v>
      </c>
      <c r="I183" s="21" t="s">
        <v>53</v>
      </c>
      <c r="J183" s="21" t="s">
        <v>54</v>
      </c>
      <c r="K183" s="21" t="s">
        <v>34</v>
      </c>
      <c r="L183" s="21" t="s">
        <v>164</v>
      </c>
      <c r="M183" s="21">
        <v>-1</v>
      </c>
      <c r="N183" s="19">
        <v>56</v>
      </c>
      <c r="O183" s="19">
        <v>97</v>
      </c>
      <c r="P183" s="19">
        <v>76.5</v>
      </c>
      <c r="Q183" s="19">
        <v>29</v>
      </c>
      <c r="R183" s="22" t="str">
        <f>IF(Cleaned_DS_jobs!$Q183&lt;10,"little_age_company",IF(AND(Cleaned_DS_jobs!$Q183&gt;=10,Cleaned_DS_jobs!$Q183&lt;=20),"average_age_company","Big_age_company"))</f>
        <v>Big_age_company</v>
      </c>
    </row>
    <row r="184" spans="1:18" ht="19.95" customHeight="1" x14ac:dyDescent="0.3">
      <c r="A184" s="13" t="s">
        <v>1675</v>
      </c>
      <c r="B184" s="14" t="s">
        <v>1710</v>
      </c>
      <c r="C184" s="14">
        <v>3.5</v>
      </c>
      <c r="D184" s="15" t="s">
        <v>2116</v>
      </c>
      <c r="E184" s="14" t="s">
        <v>19</v>
      </c>
      <c r="F184" s="16" t="s">
        <v>1842</v>
      </c>
      <c r="G184" s="16" t="s">
        <v>20</v>
      </c>
      <c r="H184" s="14">
        <v>1948</v>
      </c>
      <c r="I184" s="16" t="s">
        <v>32</v>
      </c>
      <c r="J184" s="16" t="s">
        <v>22</v>
      </c>
      <c r="K184" s="16" t="s">
        <v>23</v>
      </c>
      <c r="L184" s="16" t="s">
        <v>35</v>
      </c>
      <c r="M184" s="16">
        <v>-1</v>
      </c>
      <c r="N184" s="14">
        <v>56</v>
      </c>
      <c r="O184" s="14">
        <v>97</v>
      </c>
      <c r="P184" s="14">
        <v>76.5</v>
      </c>
      <c r="Q184" s="14">
        <v>78</v>
      </c>
      <c r="R184" s="17" t="str">
        <f>IF(Cleaned_DS_jobs!$Q184&lt;10,"little_age_company",IF(AND(Cleaned_DS_jobs!$Q184&gt;=10,Cleaned_DS_jobs!$Q184&lt;=20),"average_age_company","Big_age_company"))</f>
        <v>Big_age_company</v>
      </c>
    </row>
    <row r="185" spans="1:18" ht="19.95" customHeight="1" x14ac:dyDescent="0.3">
      <c r="A185" s="18" t="s">
        <v>26</v>
      </c>
      <c r="B185" s="19" t="s">
        <v>1710</v>
      </c>
      <c r="C185" s="19">
        <v>3.3</v>
      </c>
      <c r="D185" s="20" t="s">
        <v>2117</v>
      </c>
      <c r="E185" s="19" t="s">
        <v>665</v>
      </c>
      <c r="F185" s="21" t="s">
        <v>1843</v>
      </c>
      <c r="G185" s="21" t="s">
        <v>31</v>
      </c>
      <c r="H185" s="19">
        <v>1850</v>
      </c>
      <c r="I185" s="21" t="s">
        <v>32</v>
      </c>
      <c r="J185" s="21" t="s">
        <v>175</v>
      </c>
      <c r="K185" s="21" t="s">
        <v>175</v>
      </c>
      <c r="L185" s="21" t="s">
        <v>101</v>
      </c>
      <c r="M185" s="21">
        <v>-1</v>
      </c>
      <c r="N185" s="19">
        <v>56</v>
      </c>
      <c r="O185" s="19">
        <v>97</v>
      </c>
      <c r="P185" s="19">
        <v>76.5</v>
      </c>
      <c r="Q185" s="19">
        <v>176</v>
      </c>
      <c r="R185" s="22" t="str">
        <f>IF(Cleaned_DS_jobs!$Q185&lt;10,"little_age_company",IF(AND(Cleaned_DS_jobs!$Q185&gt;=10,Cleaned_DS_jobs!$Q185&lt;=20),"average_age_company","Big_age_company"))</f>
        <v>Big_age_company</v>
      </c>
    </row>
    <row r="186" spans="1:18" ht="19.95" customHeight="1" x14ac:dyDescent="0.3">
      <c r="A186" s="13" t="s">
        <v>615</v>
      </c>
      <c r="B186" s="14" t="s">
        <v>1710</v>
      </c>
      <c r="C186" s="14">
        <v>3.9</v>
      </c>
      <c r="D186" s="15" t="s">
        <v>2118</v>
      </c>
      <c r="E186" s="14" t="s">
        <v>143</v>
      </c>
      <c r="F186" s="16" t="s">
        <v>1763</v>
      </c>
      <c r="G186" s="16" t="s">
        <v>52</v>
      </c>
      <c r="H186" s="14">
        <v>2008</v>
      </c>
      <c r="I186" s="16" t="s">
        <v>32</v>
      </c>
      <c r="J186" s="16" t="s">
        <v>123</v>
      </c>
      <c r="K186" s="16" t="s">
        <v>60</v>
      </c>
      <c r="L186" s="16" t="s">
        <v>24</v>
      </c>
      <c r="M186" s="16">
        <v>-1</v>
      </c>
      <c r="N186" s="14">
        <v>56</v>
      </c>
      <c r="O186" s="14">
        <v>97</v>
      </c>
      <c r="P186" s="14">
        <v>76.5</v>
      </c>
      <c r="Q186" s="14">
        <v>18</v>
      </c>
      <c r="R186" s="17" t="str">
        <f>IF(Cleaned_DS_jobs!$Q186&lt;10,"little_age_company",IF(AND(Cleaned_DS_jobs!$Q186&gt;=10,Cleaned_DS_jobs!$Q186&lt;=20),"average_age_company","Big_age_company"))</f>
        <v>average_age_company</v>
      </c>
    </row>
    <row r="187" spans="1:18" ht="19.95" customHeight="1" x14ac:dyDescent="0.3">
      <c r="A187" s="18" t="s">
        <v>454</v>
      </c>
      <c r="B187" s="19" t="s">
        <v>1710</v>
      </c>
      <c r="C187" s="19">
        <v>3.7</v>
      </c>
      <c r="D187" s="20" t="s">
        <v>2119</v>
      </c>
      <c r="E187" s="19" t="s">
        <v>38</v>
      </c>
      <c r="F187" s="21" t="s">
        <v>1844</v>
      </c>
      <c r="G187" s="21" t="s">
        <v>31</v>
      </c>
      <c r="H187" s="19">
        <v>1851</v>
      </c>
      <c r="I187" s="21" t="s">
        <v>53</v>
      </c>
      <c r="J187" s="21" t="s">
        <v>22</v>
      </c>
      <c r="K187" s="21" t="s">
        <v>23</v>
      </c>
      <c r="L187" s="21" t="s">
        <v>68</v>
      </c>
      <c r="M187" s="21">
        <v>-1</v>
      </c>
      <c r="N187" s="19">
        <v>56</v>
      </c>
      <c r="O187" s="19">
        <v>97</v>
      </c>
      <c r="P187" s="19">
        <v>76.5</v>
      </c>
      <c r="Q187" s="19">
        <v>175</v>
      </c>
      <c r="R187" s="22" t="str">
        <f>IF(Cleaned_DS_jobs!$Q187&lt;10,"little_age_company",IF(AND(Cleaned_DS_jobs!$Q187&gt;=10,Cleaned_DS_jobs!$Q187&lt;=20),"average_age_company","Big_age_company"))</f>
        <v>Big_age_company</v>
      </c>
    </row>
    <row r="188" spans="1:18" ht="19.95" customHeight="1" x14ac:dyDescent="0.3">
      <c r="A188" s="13" t="s">
        <v>672</v>
      </c>
      <c r="B188" s="14" t="s">
        <v>1710</v>
      </c>
      <c r="C188" s="14">
        <v>3.9</v>
      </c>
      <c r="D188" s="15" t="s">
        <v>2120</v>
      </c>
      <c r="E188" s="14" t="s">
        <v>675</v>
      </c>
      <c r="F188" s="16" t="s">
        <v>1845</v>
      </c>
      <c r="G188" s="16" t="s">
        <v>46</v>
      </c>
      <c r="H188" s="14">
        <v>2004</v>
      </c>
      <c r="I188" s="16" t="s">
        <v>32</v>
      </c>
      <c r="J188" s="16" t="s">
        <v>67</v>
      </c>
      <c r="K188" s="16" t="s">
        <v>67</v>
      </c>
      <c r="L188" s="16" t="s">
        <v>41</v>
      </c>
      <c r="M188" s="16" t="s">
        <v>676</v>
      </c>
      <c r="N188" s="14">
        <v>56</v>
      </c>
      <c r="O188" s="14">
        <v>97</v>
      </c>
      <c r="P188" s="14">
        <v>76.5</v>
      </c>
      <c r="Q188" s="14">
        <v>22</v>
      </c>
      <c r="R188" s="17" t="str">
        <f>IF(Cleaned_DS_jobs!$Q188&lt;10,"little_age_company",IF(AND(Cleaned_DS_jobs!$Q188&gt;=10,Cleaned_DS_jobs!$Q188&lt;=20),"average_age_company","Big_age_company"))</f>
        <v>Big_age_company</v>
      </c>
    </row>
    <row r="189" spans="1:18" ht="19.95" customHeight="1" x14ac:dyDescent="0.3">
      <c r="A189" s="18" t="s">
        <v>677</v>
      </c>
      <c r="B189" s="19" t="s">
        <v>1710</v>
      </c>
      <c r="C189" s="19">
        <v>4</v>
      </c>
      <c r="D189" s="20" t="s">
        <v>2121</v>
      </c>
      <c r="E189" s="19" t="s">
        <v>233</v>
      </c>
      <c r="F189" s="21" t="s">
        <v>1776</v>
      </c>
      <c r="G189" s="21" t="s">
        <v>66</v>
      </c>
      <c r="H189" s="19">
        <v>1976</v>
      </c>
      <c r="I189" s="21" t="s">
        <v>301</v>
      </c>
      <c r="J189" s="21" t="s">
        <v>67</v>
      </c>
      <c r="K189" s="21" t="s">
        <v>67</v>
      </c>
      <c r="L189" s="21" t="s">
        <v>68</v>
      </c>
      <c r="M189" s="21">
        <v>-1</v>
      </c>
      <c r="N189" s="19">
        <v>56</v>
      </c>
      <c r="O189" s="19">
        <v>97</v>
      </c>
      <c r="P189" s="19">
        <v>76.5</v>
      </c>
      <c r="Q189" s="19">
        <v>50</v>
      </c>
      <c r="R189" s="22" t="str">
        <f>IF(Cleaned_DS_jobs!$Q189&lt;10,"little_age_company",IF(AND(Cleaned_DS_jobs!$Q189&gt;=10,Cleaned_DS_jobs!$Q189&lt;=20),"average_age_company","Big_age_company"))</f>
        <v>Big_age_company</v>
      </c>
    </row>
    <row r="190" spans="1:18" ht="19.95" customHeight="1" x14ac:dyDescent="0.3">
      <c r="A190" s="13" t="s">
        <v>680</v>
      </c>
      <c r="B190" s="14" t="s">
        <v>1710</v>
      </c>
      <c r="C190" s="14">
        <v>4.2</v>
      </c>
      <c r="D190" s="15" t="s">
        <v>2122</v>
      </c>
      <c r="E190" s="14" t="s">
        <v>30</v>
      </c>
      <c r="F190" s="16" t="s">
        <v>1745</v>
      </c>
      <c r="G190" s="16" t="s">
        <v>107</v>
      </c>
      <c r="H190" s="14">
        <v>2010</v>
      </c>
      <c r="I190" s="16" t="s">
        <v>53</v>
      </c>
      <c r="J190" s="16" t="s">
        <v>92</v>
      </c>
      <c r="K190" s="16" t="s">
        <v>60</v>
      </c>
      <c r="L190" s="16" t="s">
        <v>194</v>
      </c>
      <c r="M190" s="16" t="s">
        <v>683</v>
      </c>
      <c r="N190" s="14">
        <v>56</v>
      </c>
      <c r="O190" s="14">
        <v>97</v>
      </c>
      <c r="P190" s="14">
        <v>76.5</v>
      </c>
      <c r="Q190" s="14">
        <v>16</v>
      </c>
      <c r="R190" s="17" t="str">
        <f>IF(Cleaned_DS_jobs!$Q190&lt;10,"little_age_company",IF(AND(Cleaned_DS_jobs!$Q190&gt;=10,Cleaned_DS_jobs!$Q190&lt;=20),"average_age_company","Big_age_company"))</f>
        <v>average_age_company</v>
      </c>
    </row>
    <row r="191" spans="1:18" ht="19.95" customHeight="1" x14ac:dyDescent="0.3">
      <c r="A191" s="18" t="s">
        <v>684</v>
      </c>
      <c r="B191" s="19" t="s">
        <v>1710</v>
      </c>
      <c r="C191" s="19">
        <v>3.6</v>
      </c>
      <c r="D191" s="20" t="s">
        <v>2123</v>
      </c>
      <c r="E191" s="19" t="s">
        <v>687</v>
      </c>
      <c r="F191" s="21" t="s">
        <v>1846</v>
      </c>
      <c r="G191" s="21" t="s">
        <v>688</v>
      </c>
      <c r="H191" s="19">
        <v>1995</v>
      </c>
      <c r="I191" s="21" t="s">
        <v>301</v>
      </c>
      <c r="J191" s="21" t="s">
        <v>54</v>
      </c>
      <c r="K191" s="21" t="s">
        <v>34</v>
      </c>
      <c r="L191" s="21" t="s">
        <v>24</v>
      </c>
      <c r="M191" s="21" t="s">
        <v>689</v>
      </c>
      <c r="N191" s="19">
        <v>56</v>
      </c>
      <c r="O191" s="19">
        <v>97</v>
      </c>
      <c r="P191" s="19">
        <v>76.5</v>
      </c>
      <c r="Q191" s="19">
        <v>31</v>
      </c>
      <c r="R191" s="22" t="str">
        <f>IF(Cleaned_DS_jobs!$Q191&lt;10,"little_age_company",IF(AND(Cleaned_DS_jobs!$Q191&gt;=10,Cleaned_DS_jobs!$Q191&lt;=20),"average_age_company","Big_age_company"))</f>
        <v>Big_age_company</v>
      </c>
    </row>
    <row r="192" spans="1:18" ht="19.95" customHeight="1" x14ac:dyDescent="0.3">
      <c r="A192" s="13" t="s">
        <v>690</v>
      </c>
      <c r="B192" s="14" t="s">
        <v>1710</v>
      </c>
      <c r="C192" s="14">
        <v>4.7</v>
      </c>
      <c r="D192" s="15" t="s">
        <v>2124</v>
      </c>
      <c r="E192" s="14" t="s">
        <v>143</v>
      </c>
      <c r="F192" s="16" t="s">
        <v>1847</v>
      </c>
      <c r="G192" s="16" t="s">
        <v>46</v>
      </c>
      <c r="H192" s="14">
        <v>1999</v>
      </c>
      <c r="I192" s="16" t="s">
        <v>301</v>
      </c>
      <c r="J192" s="16" t="s">
        <v>59</v>
      </c>
      <c r="K192" s="16" t="s">
        <v>60</v>
      </c>
      <c r="L192" s="16" t="s">
        <v>24</v>
      </c>
      <c r="M192" s="16">
        <v>-1</v>
      </c>
      <c r="N192" s="14">
        <v>56</v>
      </c>
      <c r="O192" s="14">
        <v>97</v>
      </c>
      <c r="P192" s="14">
        <v>76.5</v>
      </c>
      <c r="Q192" s="14">
        <v>27</v>
      </c>
      <c r="R192" s="17" t="str">
        <f>IF(Cleaned_DS_jobs!$Q192&lt;10,"little_age_company",IF(AND(Cleaned_DS_jobs!$Q192&gt;=10,Cleaned_DS_jobs!$Q192&lt;=20),"average_age_company","Big_age_company"))</f>
        <v>Big_age_company</v>
      </c>
    </row>
    <row r="193" spans="1:18" ht="19.95" customHeight="1" x14ac:dyDescent="0.3">
      <c r="A193" s="18" t="s">
        <v>189</v>
      </c>
      <c r="B193" s="19" t="s">
        <v>1710</v>
      </c>
      <c r="C193" s="19">
        <v>4.0999999999999996</v>
      </c>
      <c r="D193" s="20" t="s">
        <v>2125</v>
      </c>
      <c r="E193" s="19" t="s">
        <v>258</v>
      </c>
      <c r="F193" s="21" t="s">
        <v>1751</v>
      </c>
      <c r="G193" s="21" t="s">
        <v>52</v>
      </c>
      <c r="H193" s="19">
        <v>2011</v>
      </c>
      <c r="I193" s="21" t="s">
        <v>53</v>
      </c>
      <c r="J193" s="21" t="s">
        <v>92</v>
      </c>
      <c r="K193" s="21" t="s">
        <v>60</v>
      </c>
      <c r="L193" s="21" t="s">
        <v>24</v>
      </c>
      <c r="M193" s="21">
        <v>-1</v>
      </c>
      <c r="N193" s="19">
        <v>56</v>
      </c>
      <c r="O193" s="19">
        <v>97</v>
      </c>
      <c r="P193" s="19">
        <v>76.5</v>
      </c>
      <c r="Q193" s="19">
        <v>15</v>
      </c>
      <c r="R193" s="22" t="str">
        <f>IF(Cleaned_DS_jobs!$Q193&lt;10,"little_age_company",IF(AND(Cleaned_DS_jobs!$Q193&gt;=10,Cleaned_DS_jobs!$Q193&lt;=20),"average_age_company","Big_age_company"))</f>
        <v>average_age_company</v>
      </c>
    </row>
    <row r="194" spans="1:18" ht="19.95" customHeight="1" x14ac:dyDescent="0.3">
      <c r="A194" s="13" t="s">
        <v>329</v>
      </c>
      <c r="B194" s="14" t="s">
        <v>1710</v>
      </c>
      <c r="C194" s="14">
        <v>4</v>
      </c>
      <c r="D194" s="15" t="s">
        <v>2047</v>
      </c>
      <c r="E194" s="14" t="s">
        <v>366</v>
      </c>
      <c r="F194" s="16" t="s">
        <v>1799</v>
      </c>
      <c r="G194" s="16" t="s">
        <v>66</v>
      </c>
      <c r="H194" s="14">
        <v>1913</v>
      </c>
      <c r="I194" s="16" t="s">
        <v>32</v>
      </c>
      <c r="J194" s="16" t="s">
        <v>67</v>
      </c>
      <c r="K194" s="16" t="s">
        <v>67</v>
      </c>
      <c r="L194" s="16" t="s">
        <v>68</v>
      </c>
      <c r="M194" s="16" t="s">
        <v>368</v>
      </c>
      <c r="N194" s="14">
        <v>56</v>
      </c>
      <c r="O194" s="14">
        <v>97</v>
      </c>
      <c r="P194" s="14">
        <v>76.5</v>
      </c>
      <c r="Q194" s="14">
        <v>113</v>
      </c>
      <c r="R194" s="17" t="str">
        <f>IF(Cleaned_DS_jobs!$Q194&lt;10,"little_age_company",IF(AND(Cleaned_DS_jobs!$Q194&gt;=10,Cleaned_DS_jobs!$Q194&lt;=20),"average_age_company","Big_age_company"))</f>
        <v>Big_age_company</v>
      </c>
    </row>
    <row r="195" spans="1:18" ht="19.95" customHeight="1" x14ac:dyDescent="0.3">
      <c r="A195" s="18" t="s">
        <v>26</v>
      </c>
      <c r="B195" s="19" t="s">
        <v>1710</v>
      </c>
      <c r="C195" s="19">
        <v>5</v>
      </c>
      <c r="D195" s="20" t="s">
        <v>2126</v>
      </c>
      <c r="E195" s="19" t="s">
        <v>143</v>
      </c>
      <c r="F195" s="21" t="s">
        <v>1848</v>
      </c>
      <c r="G195" s="21" t="s">
        <v>688</v>
      </c>
      <c r="H195" s="19">
        <v>-1</v>
      </c>
      <c r="I195" s="21" t="s">
        <v>32</v>
      </c>
      <c r="J195" s="21" t="s">
        <v>1972</v>
      </c>
      <c r="K195" s="21" t="s">
        <v>1972</v>
      </c>
      <c r="L195" s="21" t="s">
        <v>24</v>
      </c>
      <c r="M195" s="21">
        <v>-1</v>
      </c>
      <c r="N195" s="19">
        <v>56</v>
      </c>
      <c r="O195" s="19">
        <v>97</v>
      </c>
      <c r="P195" s="19">
        <v>76.5</v>
      </c>
      <c r="Q195" s="19">
        <v>-1</v>
      </c>
      <c r="R195" s="22" t="str">
        <f>IF(Cleaned_DS_jobs!$Q195&lt;10,"little_age_company",IF(AND(Cleaned_DS_jobs!$Q195&gt;=10,Cleaned_DS_jobs!$Q195&lt;=20),"average_age_company","Big_age_company"))</f>
        <v>little_age_company</v>
      </c>
    </row>
    <row r="196" spans="1:18" ht="19.95" customHeight="1" x14ac:dyDescent="0.3">
      <c r="A196" s="13" t="s">
        <v>700</v>
      </c>
      <c r="B196" s="14" t="s">
        <v>1710</v>
      </c>
      <c r="C196" s="14">
        <v>4</v>
      </c>
      <c r="D196" s="15" t="s">
        <v>2047</v>
      </c>
      <c r="E196" s="14" t="s">
        <v>19</v>
      </c>
      <c r="F196" s="16" t="s">
        <v>1799</v>
      </c>
      <c r="G196" s="16" t="s">
        <v>66</v>
      </c>
      <c r="H196" s="14">
        <v>1913</v>
      </c>
      <c r="I196" s="16" t="s">
        <v>32</v>
      </c>
      <c r="J196" s="16" t="s">
        <v>67</v>
      </c>
      <c r="K196" s="16" t="s">
        <v>67</v>
      </c>
      <c r="L196" s="16" t="s">
        <v>68</v>
      </c>
      <c r="M196" s="16" t="s">
        <v>368</v>
      </c>
      <c r="N196" s="14">
        <v>56</v>
      </c>
      <c r="O196" s="14">
        <v>97</v>
      </c>
      <c r="P196" s="14">
        <v>76.5</v>
      </c>
      <c r="Q196" s="14">
        <v>113</v>
      </c>
      <c r="R196" s="17" t="str">
        <f>IF(Cleaned_DS_jobs!$Q196&lt;10,"little_age_company",IF(AND(Cleaned_DS_jobs!$Q196&gt;=10,Cleaned_DS_jobs!$Q196&lt;=20),"average_age_company","Big_age_company"))</f>
        <v>Big_age_company</v>
      </c>
    </row>
    <row r="197" spans="1:18" ht="19.95" customHeight="1" x14ac:dyDescent="0.3">
      <c r="A197" s="18" t="s">
        <v>26</v>
      </c>
      <c r="B197" s="19" t="s">
        <v>1710</v>
      </c>
      <c r="C197" s="19">
        <v>4.3</v>
      </c>
      <c r="D197" s="20" t="s">
        <v>2127</v>
      </c>
      <c r="E197" s="19" t="s">
        <v>675</v>
      </c>
      <c r="F197" s="21" t="s">
        <v>1804</v>
      </c>
      <c r="G197" s="21" t="s">
        <v>52</v>
      </c>
      <c r="H197" s="19">
        <v>-1</v>
      </c>
      <c r="I197" s="21" t="s">
        <v>53</v>
      </c>
      <c r="J197" s="21" t="s">
        <v>1972</v>
      </c>
      <c r="K197" s="21" t="s">
        <v>1972</v>
      </c>
      <c r="L197" s="21" t="s">
        <v>24</v>
      </c>
      <c r="M197" s="21">
        <v>-1</v>
      </c>
      <c r="N197" s="19">
        <v>56</v>
      </c>
      <c r="O197" s="19">
        <v>97</v>
      </c>
      <c r="P197" s="19">
        <v>76.5</v>
      </c>
      <c r="Q197" s="19">
        <v>-1</v>
      </c>
      <c r="R197" s="22" t="str">
        <f>IF(Cleaned_DS_jobs!$Q197&lt;10,"little_age_company",IF(AND(Cleaned_DS_jobs!$Q197&gt;=10,Cleaned_DS_jobs!$Q197&lt;=20),"average_age_company","Big_age_company"))</f>
        <v>little_age_company</v>
      </c>
    </row>
    <row r="198" spans="1:18" ht="19.95" customHeight="1" x14ac:dyDescent="0.3">
      <c r="A198" s="13" t="s">
        <v>704</v>
      </c>
      <c r="B198" s="14" t="s">
        <v>1710</v>
      </c>
      <c r="C198" s="14">
        <v>3.8</v>
      </c>
      <c r="D198" s="15" t="s">
        <v>2128</v>
      </c>
      <c r="E198" s="14" t="s">
        <v>707</v>
      </c>
      <c r="F198" s="16" t="s">
        <v>1849</v>
      </c>
      <c r="G198" s="16" t="s">
        <v>31</v>
      </c>
      <c r="H198" s="14">
        <v>1918</v>
      </c>
      <c r="I198" s="16" t="s">
        <v>21</v>
      </c>
      <c r="J198" s="16" t="s">
        <v>139</v>
      </c>
      <c r="K198" s="16" t="s">
        <v>140</v>
      </c>
      <c r="L198" s="16" t="s">
        <v>41</v>
      </c>
      <c r="M198" s="16" t="s">
        <v>708</v>
      </c>
      <c r="N198" s="14">
        <v>56</v>
      </c>
      <c r="O198" s="14">
        <v>97</v>
      </c>
      <c r="P198" s="14">
        <v>76.5</v>
      </c>
      <c r="Q198" s="14">
        <v>108</v>
      </c>
      <c r="R198" s="17" t="str">
        <f>IF(Cleaned_DS_jobs!$Q198&lt;10,"little_age_company",IF(AND(Cleaned_DS_jobs!$Q198&gt;=10,Cleaned_DS_jobs!$Q198&lt;=20),"average_age_company","Big_age_company"))</f>
        <v>Big_age_company</v>
      </c>
    </row>
    <row r="199" spans="1:18" ht="19.95" customHeight="1" x14ac:dyDescent="0.3">
      <c r="A199" s="18" t="s">
        <v>1676</v>
      </c>
      <c r="B199" s="19" t="s">
        <v>1710</v>
      </c>
      <c r="C199" s="19">
        <v>3.8</v>
      </c>
      <c r="D199" s="20" t="s">
        <v>2129</v>
      </c>
      <c r="E199" s="19" t="s">
        <v>712</v>
      </c>
      <c r="F199" s="21" t="s">
        <v>1779</v>
      </c>
      <c r="G199" s="21" t="s">
        <v>107</v>
      </c>
      <c r="H199" s="19">
        <v>2013</v>
      </c>
      <c r="I199" s="21" t="s">
        <v>32</v>
      </c>
      <c r="J199" s="21" t="s">
        <v>67</v>
      </c>
      <c r="K199" s="21" t="s">
        <v>67</v>
      </c>
      <c r="L199" s="21" t="s">
        <v>41</v>
      </c>
      <c r="M199" s="21">
        <v>-1</v>
      </c>
      <c r="N199" s="19">
        <v>56</v>
      </c>
      <c r="O199" s="19">
        <v>97</v>
      </c>
      <c r="P199" s="19">
        <v>76.5</v>
      </c>
      <c r="Q199" s="19">
        <v>13</v>
      </c>
      <c r="R199" s="22" t="str">
        <f>IF(Cleaned_DS_jobs!$Q199&lt;10,"little_age_company",IF(AND(Cleaned_DS_jobs!$Q199&gt;=10,Cleaned_DS_jobs!$Q199&lt;=20),"average_age_company","Big_age_company"))</f>
        <v>average_age_company</v>
      </c>
    </row>
    <row r="200" spans="1:18" ht="19.95" customHeight="1" x14ac:dyDescent="0.3">
      <c r="A200" s="13" t="s">
        <v>713</v>
      </c>
      <c r="B200" s="14" t="s">
        <v>1710</v>
      </c>
      <c r="C200" s="14">
        <v>4.5999999999999996</v>
      </c>
      <c r="D200" s="15" t="s">
        <v>2130</v>
      </c>
      <c r="E200" s="14" t="s">
        <v>716</v>
      </c>
      <c r="F200" s="16" t="s">
        <v>1850</v>
      </c>
      <c r="G200" s="16" t="s">
        <v>46</v>
      </c>
      <c r="H200" s="14">
        <v>1992</v>
      </c>
      <c r="I200" s="16" t="s">
        <v>53</v>
      </c>
      <c r="J200" s="16" t="s">
        <v>520</v>
      </c>
      <c r="K200" s="16" t="s">
        <v>170</v>
      </c>
      <c r="L200" s="16" t="s">
        <v>41</v>
      </c>
      <c r="M200" s="16">
        <v>-1</v>
      </c>
      <c r="N200" s="14">
        <v>56</v>
      </c>
      <c r="O200" s="14">
        <v>97</v>
      </c>
      <c r="P200" s="14">
        <v>76.5</v>
      </c>
      <c r="Q200" s="14">
        <v>34</v>
      </c>
      <c r="R200" s="17" t="str">
        <f>IF(Cleaned_DS_jobs!$Q200&lt;10,"little_age_company",IF(AND(Cleaned_DS_jobs!$Q200&gt;=10,Cleaned_DS_jobs!$Q200&lt;=20),"average_age_company","Big_age_company"))</f>
        <v>Big_age_company</v>
      </c>
    </row>
    <row r="201" spans="1:18" ht="19.95" customHeight="1" x14ac:dyDescent="0.3">
      <c r="A201" s="18" t="s">
        <v>119</v>
      </c>
      <c r="B201" s="19" t="s">
        <v>1711</v>
      </c>
      <c r="C201" s="19">
        <v>4.0999999999999996</v>
      </c>
      <c r="D201" s="20" t="s">
        <v>1989</v>
      </c>
      <c r="E201" s="19" t="s">
        <v>122</v>
      </c>
      <c r="F201" s="21" t="s">
        <v>1759</v>
      </c>
      <c r="G201" s="21" t="s">
        <v>52</v>
      </c>
      <c r="H201" s="19">
        <v>2015</v>
      </c>
      <c r="I201" s="21" t="s">
        <v>53</v>
      </c>
      <c r="J201" s="21" t="s">
        <v>123</v>
      </c>
      <c r="K201" s="21" t="s">
        <v>60</v>
      </c>
      <c r="L201" s="21" t="s">
        <v>24</v>
      </c>
      <c r="M201" s="21">
        <v>-1</v>
      </c>
      <c r="N201" s="19">
        <v>79</v>
      </c>
      <c r="O201" s="19">
        <v>106</v>
      </c>
      <c r="P201" s="19">
        <v>92.5</v>
      </c>
      <c r="Q201" s="19">
        <v>11</v>
      </c>
      <c r="R201" s="22" t="str">
        <f>IF(Cleaned_DS_jobs!$Q201&lt;10,"little_age_company",IF(AND(Cleaned_DS_jobs!$Q201&gt;=10,Cleaned_DS_jobs!$Q201&lt;=20),"average_age_company","Big_age_company"))</f>
        <v>average_age_company</v>
      </c>
    </row>
    <row r="202" spans="1:18" ht="19.95" customHeight="1" x14ac:dyDescent="0.3">
      <c r="A202" s="13" t="s">
        <v>26</v>
      </c>
      <c r="B202" s="14" t="s">
        <v>1711</v>
      </c>
      <c r="C202" s="14">
        <v>3.4</v>
      </c>
      <c r="D202" s="15" t="s">
        <v>1997</v>
      </c>
      <c r="E202" s="14" t="s">
        <v>83</v>
      </c>
      <c r="F202" s="16" t="s">
        <v>1752</v>
      </c>
      <c r="G202" s="16" t="s">
        <v>52</v>
      </c>
      <c r="H202" s="14">
        <v>1992</v>
      </c>
      <c r="I202" s="16" t="s">
        <v>53</v>
      </c>
      <c r="J202" s="16" t="s">
        <v>54</v>
      </c>
      <c r="K202" s="16" t="s">
        <v>34</v>
      </c>
      <c r="L202" s="16" t="s">
        <v>160</v>
      </c>
      <c r="M202" s="16">
        <v>-1</v>
      </c>
      <c r="N202" s="14">
        <v>79</v>
      </c>
      <c r="O202" s="14">
        <v>106</v>
      </c>
      <c r="P202" s="14">
        <v>92.5</v>
      </c>
      <c r="Q202" s="14">
        <v>34</v>
      </c>
      <c r="R202" s="17" t="str">
        <f>IF(Cleaned_DS_jobs!$Q202&lt;10,"little_age_company",IF(AND(Cleaned_DS_jobs!$Q202&gt;=10,Cleaned_DS_jobs!$Q202&lt;=20),"average_age_company","Big_age_company"))</f>
        <v>Big_age_company</v>
      </c>
    </row>
    <row r="203" spans="1:18" ht="19.95" customHeight="1" x14ac:dyDescent="0.3">
      <c r="A203" s="18" t="s">
        <v>26</v>
      </c>
      <c r="B203" s="19" t="s">
        <v>1711</v>
      </c>
      <c r="C203" s="19">
        <v>4.0999999999999996</v>
      </c>
      <c r="D203" s="20" t="s">
        <v>2131</v>
      </c>
      <c r="E203" s="19" t="s">
        <v>178</v>
      </c>
      <c r="F203" s="21" t="s">
        <v>1851</v>
      </c>
      <c r="G203" s="21" t="s">
        <v>52</v>
      </c>
      <c r="H203" s="19">
        <v>2008</v>
      </c>
      <c r="I203" s="21" t="s">
        <v>53</v>
      </c>
      <c r="J203" s="21" t="s">
        <v>40</v>
      </c>
      <c r="K203" s="21" t="s">
        <v>34</v>
      </c>
      <c r="L203" s="21" t="s">
        <v>160</v>
      </c>
      <c r="M203" s="21">
        <v>-1</v>
      </c>
      <c r="N203" s="19">
        <v>79</v>
      </c>
      <c r="O203" s="19">
        <v>106</v>
      </c>
      <c r="P203" s="19">
        <v>92.5</v>
      </c>
      <c r="Q203" s="19">
        <v>18</v>
      </c>
      <c r="R203" s="22" t="str">
        <f>IF(Cleaned_DS_jobs!$Q203&lt;10,"little_age_company",IF(AND(Cleaned_DS_jobs!$Q203&gt;=10,Cleaned_DS_jobs!$Q203&lt;=20),"average_age_company","Big_age_company"))</f>
        <v>average_age_company</v>
      </c>
    </row>
    <row r="204" spans="1:18" ht="19.95" customHeight="1" x14ac:dyDescent="0.3">
      <c r="A204" s="13" t="s">
        <v>221</v>
      </c>
      <c r="B204" s="14" t="s">
        <v>1711</v>
      </c>
      <c r="C204" s="14">
        <v>3.7</v>
      </c>
      <c r="D204" s="15" t="s">
        <v>2132</v>
      </c>
      <c r="E204" s="14" t="s">
        <v>722</v>
      </c>
      <c r="F204" s="16" t="s">
        <v>1852</v>
      </c>
      <c r="G204" s="16" t="s">
        <v>46</v>
      </c>
      <c r="H204" s="14">
        <v>1954</v>
      </c>
      <c r="I204" s="16" t="s">
        <v>32</v>
      </c>
      <c r="J204" s="16" t="s">
        <v>175</v>
      </c>
      <c r="K204" s="16" t="s">
        <v>175</v>
      </c>
      <c r="L204" s="16" t="s">
        <v>41</v>
      </c>
      <c r="M204" s="16" t="s">
        <v>724</v>
      </c>
      <c r="N204" s="14">
        <v>79</v>
      </c>
      <c r="O204" s="14">
        <v>106</v>
      </c>
      <c r="P204" s="14">
        <v>92.5</v>
      </c>
      <c r="Q204" s="14">
        <v>72</v>
      </c>
      <c r="R204" s="17" t="str">
        <f>IF(Cleaned_DS_jobs!$Q204&lt;10,"little_age_company",IF(AND(Cleaned_DS_jobs!$Q204&gt;=10,Cleaned_DS_jobs!$Q204&lt;=20),"average_age_company","Big_age_company"))</f>
        <v>Big_age_company</v>
      </c>
    </row>
    <row r="205" spans="1:18" ht="19.95" customHeight="1" x14ac:dyDescent="0.3">
      <c r="A205" s="18" t="s">
        <v>189</v>
      </c>
      <c r="B205" s="19" t="s">
        <v>1711</v>
      </c>
      <c r="C205" s="19">
        <v>4.4000000000000004</v>
      </c>
      <c r="D205" s="20" t="s">
        <v>2133</v>
      </c>
      <c r="E205" s="19" t="s">
        <v>143</v>
      </c>
      <c r="F205" s="21" t="s">
        <v>1763</v>
      </c>
      <c r="G205" s="21" t="s">
        <v>52</v>
      </c>
      <c r="H205" s="19">
        <v>2008</v>
      </c>
      <c r="I205" s="21" t="s">
        <v>53</v>
      </c>
      <c r="J205" s="21" t="s">
        <v>59</v>
      </c>
      <c r="K205" s="21" t="s">
        <v>60</v>
      </c>
      <c r="L205" s="21" t="s">
        <v>194</v>
      </c>
      <c r="M205" s="21">
        <v>-1</v>
      </c>
      <c r="N205" s="19">
        <v>79</v>
      </c>
      <c r="O205" s="19">
        <v>106</v>
      </c>
      <c r="P205" s="19">
        <v>92.5</v>
      </c>
      <c r="Q205" s="19">
        <v>18</v>
      </c>
      <c r="R205" s="22" t="str">
        <f>IF(Cleaned_DS_jobs!$Q205&lt;10,"little_age_company",IF(AND(Cleaned_DS_jobs!$Q205&gt;=10,Cleaned_DS_jobs!$Q205&lt;=20),"average_age_company","Big_age_company"))</f>
        <v>average_age_company</v>
      </c>
    </row>
    <row r="206" spans="1:18" ht="19.95" customHeight="1" x14ac:dyDescent="0.3">
      <c r="A206" s="13" t="s">
        <v>1677</v>
      </c>
      <c r="B206" s="14" t="s">
        <v>1711</v>
      </c>
      <c r="C206" s="14">
        <v>3.9</v>
      </c>
      <c r="D206" s="15" t="s">
        <v>1979</v>
      </c>
      <c r="E206" s="14" t="s">
        <v>64</v>
      </c>
      <c r="F206" s="16" t="s">
        <v>1749</v>
      </c>
      <c r="G206" s="16" t="s">
        <v>66</v>
      </c>
      <c r="H206" s="14">
        <v>1996</v>
      </c>
      <c r="I206" s="16" t="s">
        <v>32</v>
      </c>
      <c r="J206" s="16" t="s">
        <v>67</v>
      </c>
      <c r="K206" s="16" t="s">
        <v>67</v>
      </c>
      <c r="L206" s="16" t="s">
        <v>68</v>
      </c>
      <c r="M206" s="16">
        <v>-1</v>
      </c>
      <c r="N206" s="14">
        <v>79</v>
      </c>
      <c r="O206" s="14">
        <v>106</v>
      </c>
      <c r="P206" s="14">
        <v>92.5</v>
      </c>
      <c r="Q206" s="14">
        <v>30</v>
      </c>
      <c r="R206" s="17" t="str">
        <f>IF(Cleaned_DS_jobs!$Q206&lt;10,"little_age_company",IF(AND(Cleaned_DS_jobs!$Q206&gt;=10,Cleaned_DS_jobs!$Q206&lt;=20),"average_age_company","Big_age_company"))</f>
        <v>Big_age_company</v>
      </c>
    </row>
    <row r="207" spans="1:18" ht="19.95" customHeight="1" x14ac:dyDescent="0.3">
      <c r="A207" s="18" t="s">
        <v>189</v>
      </c>
      <c r="B207" s="19" t="s">
        <v>1711</v>
      </c>
      <c r="C207" s="19">
        <v>3.6</v>
      </c>
      <c r="D207" s="20" t="s">
        <v>2134</v>
      </c>
      <c r="E207" s="19" t="s">
        <v>731</v>
      </c>
      <c r="F207" s="21" t="s">
        <v>1753</v>
      </c>
      <c r="G207" s="21" t="s">
        <v>20</v>
      </c>
      <c r="H207" s="19">
        <v>2001</v>
      </c>
      <c r="I207" s="21" t="s">
        <v>53</v>
      </c>
      <c r="J207" s="21" t="s">
        <v>33</v>
      </c>
      <c r="K207" s="21" t="s">
        <v>34</v>
      </c>
      <c r="L207" s="21" t="s">
        <v>35</v>
      </c>
      <c r="M207" s="21">
        <v>-1</v>
      </c>
      <c r="N207" s="19">
        <v>79</v>
      </c>
      <c r="O207" s="19">
        <v>106</v>
      </c>
      <c r="P207" s="19">
        <v>92.5</v>
      </c>
      <c r="Q207" s="19">
        <v>25</v>
      </c>
      <c r="R207" s="22" t="str">
        <f>IF(Cleaned_DS_jobs!$Q207&lt;10,"little_age_company",IF(AND(Cleaned_DS_jobs!$Q207&gt;=10,Cleaned_DS_jobs!$Q207&lt;=20),"average_age_company","Big_age_company"))</f>
        <v>Big_age_company</v>
      </c>
    </row>
    <row r="208" spans="1:18" ht="19.95" customHeight="1" x14ac:dyDescent="0.3">
      <c r="A208" s="13" t="s">
        <v>732</v>
      </c>
      <c r="B208" s="14" t="s">
        <v>1711</v>
      </c>
      <c r="C208" s="14">
        <v>4.5</v>
      </c>
      <c r="D208" s="15" t="s">
        <v>1983</v>
      </c>
      <c r="E208" s="14" t="s">
        <v>30</v>
      </c>
      <c r="F208" s="16" t="s">
        <v>1753</v>
      </c>
      <c r="G208" s="16" t="s">
        <v>46</v>
      </c>
      <c r="H208" s="14">
        <v>2012</v>
      </c>
      <c r="I208" s="16" t="s">
        <v>53</v>
      </c>
      <c r="J208" s="16" t="s">
        <v>84</v>
      </c>
      <c r="K208" s="16" t="s">
        <v>60</v>
      </c>
      <c r="L208" s="16" t="s">
        <v>41</v>
      </c>
      <c r="M208" s="16" t="s">
        <v>88</v>
      </c>
      <c r="N208" s="14">
        <v>79</v>
      </c>
      <c r="O208" s="14">
        <v>106</v>
      </c>
      <c r="P208" s="14">
        <v>92.5</v>
      </c>
      <c r="Q208" s="14">
        <v>14</v>
      </c>
      <c r="R208" s="17" t="str">
        <f>IF(Cleaned_DS_jobs!$Q208&lt;10,"little_age_company",IF(AND(Cleaned_DS_jobs!$Q208&gt;=10,Cleaned_DS_jobs!$Q208&lt;=20),"average_age_company","Big_age_company"))</f>
        <v>average_age_company</v>
      </c>
    </row>
    <row r="209" spans="1:18" ht="19.95" customHeight="1" x14ac:dyDescent="0.3">
      <c r="A209" s="18" t="s">
        <v>734</v>
      </c>
      <c r="B209" s="19" t="s">
        <v>1711</v>
      </c>
      <c r="C209" s="19">
        <v>3.7</v>
      </c>
      <c r="D209" s="20" t="s">
        <v>2135</v>
      </c>
      <c r="E209" s="19" t="s">
        <v>737</v>
      </c>
      <c r="F209" s="21" t="s">
        <v>1853</v>
      </c>
      <c r="G209" s="21" t="s">
        <v>20</v>
      </c>
      <c r="H209" s="19">
        <v>1999</v>
      </c>
      <c r="I209" s="21" t="s">
        <v>32</v>
      </c>
      <c r="J209" s="21" t="s">
        <v>738</v>
      </c>
      <c r="K209" s="21" t="s">
        <v>48</v>
      </c>
      <c r="L209" s="21" t="s">
        <v>41</v>
      </c>
      <c r="M209" s="21">
        <v>-1</v>
      </c>
      <c r="N209" s="19">
        <v>79</v>
      </c>
      <c r="O209" s="19">
        <v>106</v>
      </c>
      <c r="P209" s="19">
        <v>92.5</v>
      </c>
      <c r="Q209" s="19">
        <v>27</v>
      </c>
      <c r="R209" s="22" t="str">
        <f>IF(Cleaned_DS_jobs!$Q209&lt;10,"little_age_company",IF(AND(Cleaned_DS_jobs!$Q209&gt;=10,Cleaned_DS_jobs!$Q209&lt;=20),"average_age_company","Big_age_company"))</f>
        <v>Big_age_company</v>
      </c>
    </row>
    <row r="210" spans="1:18" ht="19.95" customHeight="1" x14ac:dyDescent="0.3">
      <c r="A210" s="13" t="s">
        <v>739</v>
      </c>
      <c r="B210" s="14" t="s">
        <v>1711</v>
      </c>
      <c r="C210" s="14">
        <v>2.9</v>
      </c>
      <c r="D210" s="15" t="s">
        <v>2136</v>
      </c>
      <c r="E210" s="14" t="s">
        <v>742</v>
      </c>
      <c r="F210" s="16" t="s">
        <v>1854</v>
      </c>
      <c r="G210" s="16" t="s">
        <v>107</v>
      </c>
      <c r="H210" s="14">
        <v>1996</v>
      </c>
      <c r="I210" s="16" t="s">
        <v>32</v>
      </c>
      <c r="J210" s="16" t="s">
        <v>744</v>
      </c>
      <c r="K210" s="16" t="s">
        <v>100</v>
      </c>
      <c r="L210" s="16" t="s">
        <v>194</v>
      </c>
      <c r="M210" s="16">
        <v>-1</v>
      </c>
      <c r="N210" s="14">
        <v>79</v>
      </c>
      <c r="O210" s="14">
        <v>106</v>
      </c>
      <c r="P210" s="14">
        <v>92.5</v>
      </c>
      <c r="Q210" s="14">
        <v>30</v>
      </c>
      <c r="R210" s="17" t="str">
        <f>IF(Cleaned_DS_jobs!$Q210&lt;10,"little_age_company",IF(AND(Cleaned_DS_jobs!$Q210&gt;=10,Cleaned_DS_jobs!$Q210&lt;=20),"average_age_company","Big_age_company"))</f>
        <v>Big_age_company</v>
      </c>
    </row>
    <row r="211" spans="1:18" ht="19.95" customHeight="1" x14ac:dyDescent="0.3">
      <c r="A211" s="18" t="s">
        <v>1678</v>
      </c>
      <c r="B211" s="19" t="s">
        <v>1711</v>
      </c>
      <c r="C211" s="19">
        <v>5</v>
      </c>
      <c r="D211" s="20" t="s">
        <v>2137</v>
      </c>
      <c r="E211" s="19" t="s">
        <v>485</v>
      </c>
      <c r="F211" s="21" t="s">
        <v>1855</v>
      </c>
      <c r="G211" s="21" t="s">
        <v>117</v>
      </c>
      <c r="H211" s="19">
        <v>2011</v>
      </c>
      <c r="I211" s="21" t="s">
        <v>53</v>
      </c>
      <c r="J211" s="21" t="s">
        <v>92</v>
      </c>
      <c r="K211" s="21" t="s">
        <v>60</v>
      </c>
      <c r="L211" s="21" t="s">
        <v>212</v>
      </c>
      <c r="M211" s="21">
        <v>-1</v>
      </c>
      <c r="N211" s="19">
        <v>79</v>
      </c>
      <c r="O211" s="19">
        <v>106</v>
      </c>
      <c r="P211" s="19">
        <v>92.5</v>
      </c>
      <c r="Q211" s="19">
        <v>15</v>
      </c>
      <c r="R211" s="22" t="str">
        <f>IF(Cleaned_DS_jobs!$Q211&lt;10,"little_age_company",IF(AND(Cleaned_DS_jobs!$Q211&gt;=10,Cleaned_DS_jobs!$Q211&lt;=20),"average_age_company","Big_age_company"))</f>
        <v>average_age_company</v>
      </c>
    </row>
    <row r="212" spans="1:18" ht="19.95" customHeight="1" x14ac:dyDescent="0.3">
      <c r="A212" s="13" t="s">
        <v>26</v>
      </c>
      <c r="B212" s="14" t="s">
        <v>1711</v>
      </c>
      <c r="C212" s="14">
        <v>3.4</v>
      </c>
      <c r="D212" s="15" t="s">
        <v>2138</v>
      </c>
      <c r="E212" s="14" t="s">
        <v>44</v>
      </c>
      <c r="F212" s="16" t="s">
        <v>1807</v>
      </c>
      <c r="G212" s="16" t="s">
        <v>107</v>
      </c>
      <c r="H212" s="14">
        <v>1990</v>
      </c>
      <c r="I212" s="16" t="s">
        <v>301</v>
      </c>
      <c r="J212" s="16" t="s">
        <v>286</v>
      </c>
      <c r="K212" s="16" t="s">
        <v>34</v>
      </c>
      <c r="L212" s="16" t="s">
        <v>41</v>
      </c>
      <c r="M212" s="16" t="s">
        <v>751</v>
      </c>
      <c r="N212" s="14">
        <v>79</v>
      </c>
      <c r="O212" s="14">
        <v>106</v>
      </c>
      <c r="P212" s="14">
        <v>92.5</v>
      </c>
      <c r="Q212" s="14">
        <v>36</v>
      </c>
      <c r="R212" s="17" t="str">
        <f>IF(Cleaned_DS_jobs!$Q212&lt;10,"little_age_company",IF(AND(Cleaned_DS_jobs!$Q212&gt;=10,Cleaned_DS_jobs!$Q212&lt;=20),"average_age_company","Big_age_company"))</f>
        <v>Big_age_company</v>
      </c>
    </row>
    <row r="213" spans="1:18" ht="19.95" customHeight="1" x14ac:dyDescent="0.3">
      <c r="A213" s="18" t="s">
        <v>240</v>
      </c>
      <c r="B213" s="19" t="s">
        <v>1711</v>
      </c>
      <c r="C213" s="19">
        <v>3.5</v>
      </c>
      <c r="D213" s="20" t="s">
        <v>2071</v>
      </c>
      <c r="E213" s="19" t="s">
        <v>30</v>
      </c>
      <c r="F213" s="21" t="s">
        <v>1815</v>
      </c>
      <c r="G213" s="21" t="s">
        <v>31</v>
      </c>
      <c r="H213" s="19">
        <v>-1</v>
      </c>
      <c r="I213" s="21" t="s">
        <v>32</v>
      </c>
      <c r="J213" s="21" t="s">
        <v>175</v>
      </c>
      <c r="K213" s="21" t="s">
        <v>175</v>
      </c>
      <c r="L213" s="21" t="s">
        <v>79</v>
      </c>
      <c r="M213" s="21">
        <v>-1</v>
      </c>
      <c r="N213" s="19">
        <v>79</v>
      </c>
      <c r="O213" s="19">
        <v>106</v>
      </c>
      <c r="P213" s="19">
        <v>92.5</v>
      </c>
      <c r="Q213" s="19">
        <v>-1</v>
      </c>
      <c r="R213" s="22" t="str">
        <f>IF(Cleaned_DS_jobs!$Q213&lt;10,"little_age_company",IF(AND(Cleaned_DS_jobs!$Q213&gt;=10,Cleaned_DS_jobs!$Q213&lt;=20),"average_age_company","Big_age_company"))</f>
        <v>little_age_company</v>
      </c>
    </row>
    <row r="214" spans="1:18" ht="19.95" customHeight="1" x14ac:dyDescent="0.3">
      <c r="A214" s="13" t="s">
        <v>1679</v>
      </c>
      <c r="B214" s="14" t="s">
        <v>1711</v>
      </c>
      <c r="C214" s="14">
        <v>5</v>
      </c>
      <c r="D214" s="15" t="s">
        <v>2137</v>
      </c>
      <c r="E214" s="14" t="s">
        <v>755</v>
      </c>
      <c r="F214" s="16" t="s">
        <v>1855</v>
      </c>
      <c r="G214" s="16" t="s">
        <v>117</v>
      </c>
      <c r="H214" s="14">
        <v>2011</v>
      </c>
      <c r="I214" s="16" t="s">
        <v>53</v>
      </c>
      <c r="J214" s="16" t="s">
        <v>92</v>
      </c>
      <c r="K214" s="16" t="s">
        <v>60</v>
      </c>
      <c r="L214" s="16" t="s">
        <v>212</v>
      </c>
      <c r="M214" s="16">
        <v>-1</v>
      </c>
      <c r="N214" s="14">
        <v>79</v>
      </c>
      <c r="O214" s="14">
        <v>106</v>
      </c>
      <c r="P214" s="14">
        <v>92.5</v>
      </c>
      <c r="Q214" s="14">
        <v>15</v>
      </c>
      <c r="R214" s="17" t="str">
        <f>IF(Cleaned_DS_jobs!$Q214&lt;10,"little_age_company",IF(AND(Cleaned_DS_jobs!$Q214&gt;=10,Cleaned_DS_jobs!$Q214&lt;=20),"average_age_company","Big_age_company"))</f>
        <v>average_age_company</v>
      </c>
    </row>
    <row r="215" spans="1:18" ht="19.95" customHeight="1" x14ac:dyDescent="0.3">
      <c r="A215" s="18" t="s">
        <v>756</v>
      </c>
      <c r="B215" s="19" t="s">
        <v>1711</v>
      </c>
      <c r="C215" s="19">
        <v>4.8</v>
      </c>
      <c r="D215" s="20" t="s">
        <v>2017</v>
      </c>
      <c r="E215" s="19" t="s">
        <v>38</v>
      </c>
      <c r="F215" s="21" t="s">
        <v>1746</v>
      </c>
      <c r="G215" s="21" t="s">
        <v>107</v>
      </c>
      <c r="H215" s="19">
        <v>2012</v>
      </c>
      <c r="I215" s="21" t="s">
        <v>53</v>
      </c>
      <c r="J215" s="21" t="s">
        <v>59</v>
      </c>
      <c r="K215" s="21" t="s">
        <v>60</v>
      </c>
      <c r="L215" s="21" t="s">
        <v>24</v>
      </c>
      <c r="M215" s="21">
        <v>-1</v>
      </c>
      <c r="N215" s="19">
        <v>79</v>
      </c>
      <c r="O215" s="19">
        <v>106</v>
      </c>
      <c r="P215" s="19">
        <v>92.5</v>
      </c>
      <c r="Q215" s="19">
        <v>14</v>
      </c>
      <c r="R215" s="22" t="str">
        <f>IF(Cleaned_DS_jobs!$Q215&lt;10,"little_age_company",IF(AND(Cleaned_DS_jobs!$Q215&gt;=10,Cleaned_DS_jobs!$Q215&lt;=20),"average_age_company","Big_age_company"))</f>
        <v>average_age_company</v>
      </c>
    </row>
    <row r="216" spans="1:18" ht="19.95" customHeight="1" x14ac:dyDescent="0.3">
      <c r="A216" s="13" t="s">
        <v>1680</v>
      </c>
      <c r="B216" s="14" t="s">
        <v>1711</v>
      </c>
      <c r="C216" s="14">
        <v>3.9</v>
      </c>
      <c r="D216" s="15" t="s">
        <v>2139</v>
      </c>
      <c r="E216" s="14" t="s">
        <v>760</v>
      </c>
      <c r="F216" s="16" t="s">
        <v>1856</v>
      </c>
      <c r="G216" s="16" t="s">
        <v>20</v>
      </c>
      <c r="H216" s="14">
        <v>1947</v>
      </c>
      <c r="I216" s="16" t="s">
        <v>21</v>
      </c>
      <c r="J216" s="16" t="s">
        <v>33</v>
      </c>
      <c r="K216" s="16" t="s">
        <v>34</v>
      </c>
      <c r="L216" s="16" t="s">
        <v>101</v>
      </c>
      <c r="M216" s="16" t="s">
        <v>762</v>
      </c>
      <c r="N216" s="14">
        <v>79</v>
      </c>
      <c r="O216" s="14">
        <v>106</v>
      </c>
      <c r="P216" s="14">
        <v>92.5</v>
      </c>
      <c r="Q216" s="14">
        <v>79</v>
      </c>
      <c r="R216" s="17" t="str">
        <f>IF(Cleaned_DS_jobs!$Q216&lt;10,"little_age_company",IF(AND(Cleaned_DS_jobs!$Q216&gt;=10,Cleaned_DS_jobs!$Q216&lt;=20),"average_age_company","Big_age_company"))</f>
        <v>Big_age_company</v>
      </c>
    </row>
    <row r="217" spans="1:18" ht="19.95" customHeight="1" x14ac:dyDescent="0.3">
      <c r="A217" s="18" t="s">
        <v>1681</v>
      </c>
      <c r="B217" s="19" t="s">
        <v>1711</v>
      </c>
      <c r="C217" s="19">
        <v>4</v>
      </c>
      <c r="D217" s="20" t="s">
        <v>2047</v>
      </c>
      <c r="E217" s="19" t="s">
        <v>366</v>
      </c>
      <c r="F217" s="21" t="s">
        <v>1799</v>
      </c>
      <c r="G217" s="21" t="s">
        <v>66</v>
      </c>
      <c r="H217" s="19">
        <v>1913</v>
      </c>
      <c r="I217" s="21" t="s">
        <v>32</v>
      </c>
      <c r="J217" s="21" t="s">
        <v>67</v>
      </c>
      <c r="K217" s="21" t="s">
        <v>67</v>
      </c>
      <c r="L217" s="21" t="s">
        <v>68</v>
      </c>
      <c r="M217" s="21" t="s">
        <v>368</v>
      </c>
      <c r="N217" s="19">
        <v>79</v>
      </c>
      <c r="O217" s="19">
        <v>106</v>
      </c>
      <c r="P217" s="19">
        <v>92.5</v>
      </c>
      <c r="Q217" s="19">
        <v>113</v>
      </c>
      <c r="R217" s="22" t="str">
        <f>IF(Cleaned_DS_jobs!$Q217&lt;10,"little_age_company",IF(AND(Cleaned_DS_jobs!$Q217&gt;=10,Cleaned_DS_jobs!$Q217&lt;=20),"average_age_company","Big_age_company"))</f>
        <v>Big_age_company</v>
      </c>
    </row>
    <row r="218" spans="1:18" ht="19.95" customHeight="1" x14ac:dyDescent="0.3">
      <c r="A218" s="13" t="s">
        <v>765</v>
      </c>
      <c r="B218" s="14" t="s">
        <v>1711</v>
      </c>
      <c r="C218" s="14">
        <v>4.3</v>
      </c>
      <c r="D218" s="15" t="s">
        <v>2140</v>
      </c>
      <c r="E218" s="14" t="s">
        <v>722</v>
      </c>
      <c r="F218" s="16" t="s">
        <v>1806</v>
      </c>
      <c r="G218" s="16" t="s">
        <v>46</v>
      </c>
      <c r="H218" s="14">
        <v>2010</v>
      </c>
      <c r="I218" s="16" t="s">
        <v>53</v>
      </c>
      <c r="J218" s="16" t="s">
        <v>92</v>
      </c>
      <c r="K218" s="16" t="s">
        <v>60</v>
      </c>
      <c r="L218" s="16" t="s">
        <v>41</v>
      </c>
      <c r="M218" s="16" t="s">
        <v>768</v>
      </c>
      <c r="N218" s="14">
        <v>79</v>
      </c>
      <c r="O218" s="14">
        <v>106</v>
      </c>
      <c r="P218" s="14">
        <v>92.5</v>
      </c>
      <c r="Q218" s="14">
        <v>16</v>
      </c>
      <c r="R218" s="17" t="str">
        <f>IF(Cleaned_DS_jobs!$Q218&lt;10,"little_age_company",IF(AND(Cleaned_DS_jobs!$Q218&gt;=10,Cleaned_DS_jobs!$Q218&lt;=20),"average_age_company","Big_age_company"))</f>
        <v>average_age_company</v>
      </c>
    </row>
    <row r="219" spans="1:18" ht="19.95" customHeight="1" x14ac:dyDescent="0.3">
      <c r="A219" s="18" t="s">
        <v>769</v>
      </c>
      <c r="B219" s="19" t="s">
        <v>1711</v>
      </c>
      <c r="C219" s="19">
        <v>3.5</v>
      </c>
      <c r="D219" s="20" t="s">
        <v>2141</v>
      </c>
      <c r="E219" s="19" t="s">
        <v>772</v>
      </c>
      <c r="F219" s="21" t="s">
        <v>1857</v>
      </c>
      <c r="G219" s="21" t="s">
        <v>46</v>
      </c>
      <c r="H219" s="19">
        <v>1996</v>
      </c>
      <c r="I219" s="21" t="s">
        <v>21</v>
      </c>
      <c r="J219" s="21" t="s">
        <v>139</v>
      </c>
      <c r="K219" s="21" t="s">
        <v>140</v>
      </c>
      <c r="L219" s="21" t="s">
        <v>101</v>
      </c>
      <c r="M219" s="21">
        <v>-1</v>
      </c>
      <c r="N219" s="19">
        <v>79</v>
      </c>
      <c r="O219" s="19">
        <v>106</v>
      </c>
      <c r="P219" s="19">
        <v>92.5</v>
      </c>
      <c r="Q219" s="19">
        <v>30</v>
      </c>
      <c r="R219" s="22" t="str">
        <f>IF(Cleaned_DS_jobs!$Q219&lt;10,"little_age_company",IF(AND(Cleaned_DS_jobs!$Q219&gt;=10,Cleaned_DS_jobs!$Q219&lt;=20),"average_age_company","Big_age_company"))</f>
        <v>Big_age_company</v>
      </c>
    </row>
    <row r="220" spans="1:18" ht="19.95" customHeight="1" x14ac:dyDescent="0.3">
      <c r="A220" s="13" t="s">
        <v>773</v>
      </c>
      <c r="B220" s="14" t="s">
        <v>1711</v>
      </c>
      <c r="C220" s="14">
        <v>3.7</v>
      </c>
      <c r="D220" s="15" t="s">
        <v>2119</v>
      </c>
      <c r="E220" s="14" t="s">
        <v>38</v>
      </c>
      <c r="F220" s="16" t="s">
        <v>1844</v>
      </c>
      <c r="G220" s="16" t="s">
        <v>31</v>
      </c>
      <c r="H220" s="14">
        <v>1851</v>
      </c>
      <c r="I220" s="16" t="s">
        <v>53</v>
      </c>
      <c r="J220" s="16" t="s">
        <v>22</v>
      </c>
      <c r="K220" s="16" t="s">
        <v>23</v>
      </c>
      <c r="L220" s="16" t="s">
        <v>68</v>
      </c>
      <c r="M220" s="16">
        <v>-1</v>
      </c>
      <c r="N220" s="14">
        <v>79</v>
      </c>
      <c r="O220" s="14">
        <v>106</v>
      </c>
      <c r="P220" s="14">
        <v>92.5</v>
      </c>
      <c r="Q220" s="14">
        <v>175</v>
      </c>
      <c r="R220" s="17" t="str">
        <f>IF(Cleaned_DS_jobs!$Q220&lt;10,"little_age_company",IF(AND(Cleaned_DS_jobs!$Q220&gt;=10,Cleaned_DS_jobs!$Q220&lt;=20),"average_age_company","Big_age_company"))</f>
        <v>Big_age_company</v>
      </c>
    </row>
    <row r="221" spans="1:18" ht="19.95" customHeight="1" x14ac:dyDescent="0.3">
      <c r="A221" s="18" t="s">
        <v>1682</v>
      </c>
      <c r="B221" s="19" t="s">
        <v>1711</v>
      </c>
      <c r="C221" s="19">
        <v>3.3</v>
      </c>
      <c r="D221" s="20" t="s">
        <v>2037</v>
      </c>
      <c r="E221" s="19" t="s">
        <v>328</v>
      </c>
      <c r="F221" s="21" t="s">
        <v>1752</v>
      </c>
      <c r="G221" s="21" t="s">
        <v>46</v>
      </c>
      <c r="H221" s="19">
        <v>2015</v>
      </c>
      <c r="I221" s="21" t="s">
        <v>53</v>
      </c>
      <c r="J221" s="21" t="s">
        <v>67</v>
      </c>
      <c r="K221" s="21" t="s">
        <v>67</v>
      </c>
      <c r="L221" s="21" t="s">
        <v>24</v>
      </c>
      <c r="M221" s="21">
        <v>-1</v>
      </c>
      <c r="N221" s="19">
        <v>79</v>
      </c>
      <c r="O221" s="19">
        <v>106</v>
      </c>
      <c r="P221" s="19">
        <v>92.5</v>
      </c>
      <c r="Q221" s="19">
        <v>11</v>
      </c>
      <c r="R221" s="22" t="str">
        <f>IF(Cleaned_DS_jobs!$Q221&lt;10,"little_age_company",IF(AND(Cleaned_DS_jobs!$Q221&gt;=10,Cleaned_DS_jobs!$Q221&lt;=20),"average_age_company","Big_age_company"))</f>
        <v>average_age_company</v>
      </c>
    </row>
    <row r="222" spans="1:18" ht="19.95" customHeight="1" x14ac:dyDescent="0.3">
      <c r="A222" s="13" t="s">
        <v>777</v>
      </c>
      <c r="B222" s="14" t="s">
        <v>1711</v>
      </c>
      <c r="C222" s="14">
        <v>3.1</v>
      </c>
      <c r="D222" s="15" t="s">
        <v>2142</v>
      </c>
      <c r="E222" s="14" t="s">
        <v>780</v>
      </c>
      <c r="F222" s="16" t="s">
        <v>1858</v>
      </c>
      <c r="G222" s="16" t="s">
        <v>20</v>
      </c>
      <c r="H222" s="14">
        <v>1955</v>
      </c>
      <c r="I222" s="16" t="s">
        <v>53</v>
      </c>
      <c r="J222" s="16" t="s">
        <v>520</v>
      </c>
      <c r="K222" s="16" t="s">
        <v>170</v>
      </c>
      <c r="L222" s="16" t="s">
        <v>24</v>
      </c>
      <c r="M222" s="16">
        <v>-1</v>
      </c>
      <c r="N222" s="14">
        <v>79</v>
      </c>
      <c r="O222" s="14">
        <v>106</v>
      </c>
      <c r="P222" s="14">
        <v>92.5</v>
      </c>
      <c r="Q222" s="14">
        <v>71</v>
      </c>
      <c r="R222" s="17" t="str">
        <f>IF(Cleaned_DS_jobs!$Q222&lt;10,"little_age_company",IF(AND(Cleaned_DS_jobs!$Q222&gt;=10,Cleaned_DS_jobs!$Q222&lt;=20),"average_age_company","Big_age_company"))</f>
        <v>Big_age_company</v>
      </c>
    </row>
    <row r="223" spans="1:18" ht="19.95" customHeight="1" x14ac:dyDescent="0.3">
      <c r="A223" s="18" t="s">
        <v>144</v>
      </c>
      <c r="B223" s="19" t="s">
        <v>1712</v>
      </c>
      <c r="C223" s="19">
        <v>4.3</v>
      </c>
      <c r="D223" s="20" t="s">
        <v>1994</v>
      </c>
      <c r="E223" s="19" t="s">
        <v>19</v>
      </c>
      <c r="F223" s="21" t="s">
        <v>1744</v>
      </c>
      <c r="G223" s="21" t="s">
        <v>52</v>
      </c>
      <c r="H223" s="19">
        <v>2011</v>
      </c>
      <c r="I223" s="21" t="s">
        <v>53</v>
      </c>
      <c r="J223" s="21" t="s">
        <v>123</v>
      </c>
      <c r="K223" s="21" t="s">
        <v>60</v>
      </c>
      <c r="L223" s="21" t="s">
        <v>41</v>
      </c>
      <c r="M223" s="21" t="s">
        <v>147</v>
      </c>
      <c r="N223" s="19">
        <v>71</v>
      </c>
      <c r="O223" s="19">
        <v>123</v>
      </c>
      <c r="P223" s="19">
        <v>97</v>
      </c>
      <c r="Q223" s="19">
        <v>15</v>
      </c>
      <c r="R223" s="22" t="str">
        <f>IF(Cleaned_DS_jobs!$Q223&lt;10,"little_age_company",IF(AND(Cleaned_DS_jobs!$Q223&gt;=10,Cleaned_DS_jobs!$Q223&lt;=20),"average_age_company","Big_age_company"))</f>
        <v>average_age_company</v>
      </c>
    </row>
    <row r="224" spans="1:18" ht="19.95" customHeight="1" x14ac:dyDescent="0.3">
      <c r="A224" s="13" t="s">
        <v>165</v>
      </c>
      <c r="B224" s="14" t="s">
        <v>1712</v>
      </c>
      <c r="C224" s="14">
        <v>4.2</v>
      </c>
      <c r="D224" s="15" t="s">
        <v>1999</v>
      </c>
      <c r="E224" s="14" t="s">
        <v>168</v>
      </c>
      <c r="F224" s="16" t="s">
        <v>1766</v>
      </c>
      <c r="G224" s="16" t="s">
        <v>52</v>
      </c>
      <c r="H224" s="14">
        <v>1996</v>
      </c>
      <c r="I224" s="16" t="s">
        <v>53</v>
      </c>
      <c r="J224" s="16" t="s">
        <v>169</v>
      </c>
      <c r="K224" s="16" t="s">
        <v>170</v>
      </c>
      <c r="L224" s="16" t="s">
        <v>41</v>
      </c>
      <c r="M224" s="16">
        <v>-1</v>
      </c>
      <c r="N224" s="14">
        <v>71</v>
      </c>
      <c r="O224" s="14">
        <v>123</v>
      </c>
      <c r="P224" s="14">
        <v>97</v>
      </c>
      <c r="Q224" s="14">
        <v>30</v>
      </c>
      <c r="R224" s="17" t="str">
        <f>IF(Cleaned_DS_jobs!$Q224&lt;10,"little_age_company",IF(AND(Cleaned_DS_jobs!$Q224&gt;=10,Cleaned_DS_jobs!$Q224&lt;=20),"average_age_company","Big_age_company"))</f>
        <v>Big_age_company</v>
      </c>
    </row>
    <row r="225" spans="1:18" ht="19.95" customHeight="1" x14ac:dyDescent="0.3">
      <c r="A225" s="18" t="s">
        <v>189</v>
      </c>
      <c r="B225" s="19" t="s">
        <v>1712</v>
      </c>
      <c r="C225" s="19">
        <v>4.4000000000000004</v>
      </c>
      <c r="D225" s="20" t="s">
        <v>2114</v>
      </c>
      <c r="E225" s="19" t="s">
        <v>647</v>
      </c>
      <c r="F225" s="21" t="s">
        <v>1839</v>
      </c>
      <c r="G225" s="21" t="s">
        <v>107</v>
      </c>
      <c r="H225" s="19">
        <v>1998</v>
      </c>
      <c r="I225" s="21" t="s">
        <v>53</v>
      </c>
      <c r="J225" s="21" t="s">
        <v>649</v>
      </c>
      <c r="K225" s="21" t="s">
        <v>170</v>
      </c>
      <c r="L225" s="21" t="s">
        <v>194</v>
      </c>
      <c r="M225" s="21">
        <v>-1</v>
      </c>
      <c r="N225" s="19">
        <v>71</v>
      </c>
      <c r="O225" s="19">
        <v>123</v>
      </c>
      <c r="P225" s="19">
        <v>97</v>
      </c>
      <c r="Q225" s="19">
        <v>28</v>
      </c>
      <c r="R225" s="22" t="str">
        <f>IF(Cleaned_DS_jobs!$Q225&lt;10,"little_age_company",IF(AND(Cleaned_DS_jobs!$Q225&gt;=10,Cleaned_DS_jobs!$Q225&lt;=20),"average_age_company","Big_age_company"))</f>
        <v>Big_age_company</v>
      </c>
    </row>
    <row r="226" spans="1:18" ht="19.95" customHeight="1" x14ac:dyDescent="0.3">
      <c r="A226" s="13" t="s">
        <v>782</v>
      </c>
      <c r="B226" s="14" t="s">
        <v>1712</v>
      </c>
      <c r="C226" s="14">
        <v>3.6</v>
      </c>
      <c r="D226" s="15" t="s">
        <v>2143</v>
      </c>
      <c r="E226" s="14" t="s">
        <v>143</v>
      </c>
      <c r="F226" s="16" t="s">
        <v>1763</v>
      </c>
      <c r="G226" s="16" t="s">
        <v>46</v>
      </c>
      <c r="H226" s="14">
        <v>2014</v>
      </c>
      <c r="I226" s="16" t="s">
        <v>53</v>
      </c>
      <c r="J226" s="16" t="s">
        <v>614</v>
      </c>
      <c r="K226" s="16" t="s">
        <v>614</v>
      </c>
      <c r="L226" s="16" t="s">
        <v>79</v>
      </c>
      <c r="M226" s="16">
        <v>-1</v>
      </c>
      <c r="N226" s="14">
        <v>71</v>
      </c>
      <c r="O226" s="14">
        <v>123</v>
      </c>
      <c r="P226" s="14">
        <v>97</v>
      </c>
      <c r="Q226" s="14">
        <v>12</v>
      </c>
      <c r="R226" s="17" t="str">
        <f>IF(Cleaned_DS_jobs!$Q226&lt;10,"little_age_company",IF(AND(Cleaned_DS_jobs!$Q226&gt;=10,Cleaned_DS_jobs!$Q226&lt;=20),"average_age_company","Big_age_company"))</f>
        <v>average_age_company</v>
      </c>
    </row>
    <row r="227" spans="1:18" ht="19.95" customHeight="1" x14ac:dyDescent="0.3">
      <c r="A227" s="18" t="s">
        <v>26</v>
      </c>
      <c r="B227" s="19" t="s">
        <v>1712</v>
      </c>
      <c r="C227" s="19">
        <v>4.5</v>
      </c>
      <c r="D227" s="20" t="s">
        <v>2144</v>
      </c>
      <c r="E227" s="19" t="s">
        <v>357</v>
      </c>
      <c r="F227" s="21" t="s">
        <v>1859</v>
      </c>
      <c r="G227" s="21" t="s">
        <v>52</v>
      </c>
      <c r="H227" s="19">
        <v>2008</v>
      </c>
      <c r="I227" s="21" t="s">
        <v>53</v>
      </c>
      <c r="J227" s="21" t="s">
        <v>92</v>
      </c>
      <c r="K227" s="21" t="s">
        <v>60</v>
      </c>
      <c r="L227" s="21" t="s">
        <v>403</v>
      </c>
      <c r="M227" s="21">
        <v>-1</v>
      </c>
      <c r="N227" s="19">
        <v>71</v>
      </c>
      <c r="O227" s="19">
        <v>123</v>
      </c>
      <c r="P227" s="19">
        <v>97</v>
      </c>
      <c r="Q227" s="19">
        <v>18</v>
      </c>
      <c r="R227" s="22" t="str">
        <f>IF(Cleaned_DS_jobs!$Q227&lt;10,"little_age_company",IF(AND(Cleaned_DS_jobs!$Q227&gt;=10,Cleaned_DS_jobs!$Q227&lt;=20),"average_age_company","Big_age_company"))</f>
        <v>average_age_company</v>
      </c>
    </row>
    <row r="228" spans="1:18" ht="19.95" customHeight="1" x14ac:dyDescent="0.3">
      <c r="A228" s="13" t="s">
        <v>26</v>
      </c>
      <c r="B228" s="14" t="s">
        <v>1712</v>
      </c>
      <c r="C228" s="14">
        <v>3</v>
      </c>
      <c r="D228" s="15" t="s">
        <v>2145</v>
      </c>
      <c r="E228" s="14" t="s">
        <v>83</v>
      </c>
      <c r="F228" s="16" t="s">
        <v>1860</v>
      </c>
      <c r="G228" s="16" t="s">
        <v>20</v>
      </c>
      <c r="H228" s="14">
        <v>1999</v>
      </c>
      <c r="I228" s="16" t="s">
        <v>53</v>
      </c>
      <c r="J228" s="16" t="s">
        <v>92</v>
      </c>
      <c r="K228" s="16" t="s">
        <v>60</v>
      </c>
      <c r="L228" s="16" t="s">
        <v>41</v>
      </c>
      <c r="M228" s="16">
        <v>-1</v>
      </c>
      <c r="N228" s="14">
        <v>71</v>
      </c>
      <c r="O228" s="14">
        <v>123</v>
      </c>
      <c r="P228" s="14">
        <v>97</v>
      </c>
      <c r="Q228" s="14">
        <v>27</v>
      </c>
      <c r="R228" s="17" t="str">
        <f>IF(Cleaned_DS_jobs!$Q228&lt;10,"little_age_company",IF(AND(Cleaned_DS_jobs!$Q228&gt;=10,Cleaned_DS_jobs!$Q228&lt;=20),"average_age_company","Big_age_company"))</f>
        <v>Big_age_company</v>
      </c>
    </row>
    <row r="229" spans="1:18" ht="19.95" customHeight="1" x14ac:dyDescent="0.3">
      <c r="A229" s="18" t="s">
        <v>26</v>
      </c>
      <c r="B229" s="19" t="s">
        <v>1712</v>
      </c>
      <c r="C229" s="19">
        <v>5</v>
      </c>
      <c r="D229" s="20" t="s">
        <v>2146</v>
      </c>
      <c r="E229" s="19" t="s">
        <v>192</v>
      </c>
      <c r="F229" s="21" t="s">
        <v>1861</v>
      </c>
      <c r="G229" s="21" t="s">
        <v>52</v>
      </c>
      <c r="H229" s="19">
        <v>2018</v>
      </c>
      <c r="I229" s="21" t="s">
        <v>53</v>
      </c>
      <c r="J229" s="21" t="s">
        <v>793</v>
      </c>
      <c r="K229" s="21" t="s">
        <v>48</v>
      </c>
      <c r="L229" s="21" t="s">
        <v>24</v>
      </c>
      <c r="M229" s="21">
        <v>-1</v>
      </c>
      <c r="N229" s="19">
        <v>71</v>
      </c>
      <c r="O229" s="19">
        <v>123</v>
      </c>
      <c r="P229" s="19">
        <v>97</v>
      </c>
      <c r="Q229" s="19">
        <v>8</v>
      </c>
      <c r="R229" s="22" t="str">
        <f>IF(Cleaned_DS_jobs!$Q229&lt;10,"little_age_company",IF(AND(Cleaned_DS_jobs!$Q229&gt;=10,Cleaned_DS_jobs!$Q229&lt;=20),"average_age_company","Big_age_company"))</f>
        <v>little_age_company</v>
      </c>
    </row>
    <row r="230" spans="1:18" ht="19.95" customHeight="1" x14ac:dyDescent="0.3">
      <c r="A230" s="13" t="s">
        <v>221</v>
      </c>
      <c r="B230" s="14" t="s">
        <v>1712</v>
      </c>
      <c r="C230" s="14">
        <v>3.6</v>
      </c>
      <c r="D230" s="15" t="s">
        <v>2147</v>
      </c>
      <c r="E230" s="14" t="s">
        <v>497</v>
      </c>
      <c r="F230" s="16" t="s">
        <v>1840</v>
      </c>
      <c r="G230" s="16" t="s">
        <v>46</v>
      </c>
      <c r="H230" s="14">
        <v>1967</v>
      </c>
      <c r="I230" s="16" t="s">
        <v>21</v>
      </c>
      <c r="J230" s="16" t="s">
        <v>118</v>
      </c>
      <c r="K230" s="16" t="s">
        <v>98</v>
      </c>
      <c r="L230" s="16" t="s">
        <v>194</v>
      </c>
      <c r="M230" s="16">
        <v>-1</v>
      </c>
      <c r="N230" s="14">
        <v>71</v>
      </c>
      <c r="O230" s="14">
        <v>123</v>
      </c>
      <c r="P230" s="14">
        <v>97</v>
      </c>
      <c r="Q230" s="14">
        <v>59</v>
      </c>
      <c r="R230" s="17" t="str">
        <f>IF(Cleaned_DS_jobs!$Q230&lt;10,"little_age_company",IF(AND(Cleaned_DS_jobs!$Q230&gt;=10,Cleaned_DS_jobs!$Q230&lt;=20),"average_age_company","Big_age_company"))</f>
        <v>Big_age_company</v>
      </c>
    </row>
    <row r="231" spans="1:18" ht="19.95" customHeight="1" x14ac:dyDescent="0.3">
      <c r="A231" s="18" t="s">
        <v>795</v>
      </c>
      <c r="B231" s="19" t="s">
        <v>1712</v>
      </c>
      <c r="C231" s="19">
        <v>3.6</v>
      </c>
      <c r="D231" s="20" t="s">
        <v>2148</v>
      </c>
      <c r="E231" s="19" t="s">
        <v>755</v>
      </c>
      <c r="F231" s="21" t="s">
        <v>1862</v>
      </c>
      <c r="G231" s="21" t="s">
        <v>31</v>
      </c>
      <c r="H231" s="19">
        <v>1937</v>
      </c>
      <c r="I231" s="21" t="s">
        <v>32</v>
      </c>
      <c r="J231" s="21" t="s">
        <v>169</v>
      </c>
      <c r="K231" s="21" t="s">
        <v>170</v>
      </c>
      <c r="L231" s="21" t="s">
        <v>79</v>
      </c>
      <c r="M231" s="21">
        <v>-1</v>
      </c>
      <c r="N231" s="19">
        <v>71</v>
      </c>
      <c r="O231" s="19">
        <v>123</v>
      </c>
      <c r="P231" s="19">
        <v>97</v>
      </c>
      <c r="Q231" s="19">
        <v>89</v>
      </c>
      <c r="R231" s="22" t="str">
        <f>IF(Cleaned_DS_jobs!$Q231&lt;10,"little_age_company",IF(AND(Cleaned_DS_jobs!$Q231&gt;=10,Cleaned_DS_jobs!$Q231&lt;=20),"average_age_company","Big_age_company"))</f>
        <v>Big_age_company</v>
      </c>
    </row>
    <row r="232" spans="1:18" ht="19.95" customHeight="1" x14ac:dyDescent="0.3">
      <c r="A232" s="13" t="s">
        <v>26</v>
      </c>
      <c r="B232" s="14" t="s">
        <v>1712</v>
      </c>
      <c r="C232" s="14">
        <v>-1</v>
      </c>
      <c r="D232" s="15" t="s">
        <v>2149</v>
      </c>
      <c r="E232" s="14" t="s">
        <v>800</v>
      </c>
      <c r="F232" s="16" t="s">
        <v>1863</v>
      </c>
      <c r="G232" s="16" t="s">
        <v>117</v>
      </c>
      <c r="H232" s="14">
        <v>-1</v>
      </c>
      <c r="I232" s="16" t="s">
        <v>53</v>
      </c>
      <c r="J232" s="16" t="s">
        <v>92</v>
      </c>
      <c r="K232" s="16" t="s">
        <v>60</v>
      </c>
      <c r="L232" s="16" t="s">
        <v>403</v>
      </c>
      <c r="M232" s="16">
        <v>-1</v>
      </c>
      <c r="N232" s="14">
        <v>71</v>
      </c>
      <c r="O232" s="14">
        <v>123</v>
      </c>
      <c r="P232" s="14">
        <v>97</v>
      </c>
      <c r="Q232" s="14">
        <v>-1</v>
      </c>
      <c r="R232" s="17" t="str">
        <f>IF(Cleaned_DS_jobs!$Q232&lt;10,"little_age_company",IF(AND(Cleaned_DS_jobs!$Q232&gt;=10,Cleaned_DS_jobs!$Q232&lt;=20),"average_age_company","Big_age_company"))</f>
        <v>little_age_company</v>
      </c>
    </row>
    <row r="233" spans="1:18" ht="19.95" customHeight="1" x14ac:dyDescent="0.3">
      <c r="A233" s="18" t="s">
        <v>653</v>
      </c>
      <c r="B233" s="19" t="s">
        <v>1712</v>
      </c>
      <c r="C233" s="19">
        <v>3.8</v>
      </c>
      <c r="D233" s="20" t="s">
        <v>2092</v>
      </c>
      <c r="E233" s="19" t="s">
        <v>492</v>
      </c>
      <c r="F233" s="21" t="s">
        <v>1818</v>
      </c>
      <c r="G233" s="21" t="s">
        <v>46</v>
      </c>
      <c r="H233" s="19">
        <v>2013</v>
      </c>
      <c r="I233" s="21" t="s">
        <v>301</v>
      </c>
      <c r="J233" s="21" t="s">
        <v>67</v>
      </c>
      <c r="K233" s="21" t="s">
        <v>67</v>
      </c>
      <c r="L233" s="21" t="s">
        <v>41</v>
      </c>
      <c r="M233" s="21" t="s">
        <v>552</v>
      </c>
      <c r="N233" s="19">
        <v>71</v>
      </c>
      <c r="O233" s="19">
        <v>123</v>
      </c>
      <c r="P233" s="19">
        <v>97</v>
      </c>
      <c r="Q233" s="19">
        <v>13</v>
      </c>
      <c r="R233" s="22" t="str">
        <f>IF(Cleaned_DS_jobs!$Q233&lt;10,"little_age_company",IF(AND(Cleaned_DS_jobs!$Q233&gt;=10,Cleaned_DS_jobs!$Q233&lt;=20),"average_age_company","Big_age_company"))</f>
        <v>average_age_company</v>
      </c>
    </row>
    <row r="234" spans="1:18" ht="19.95" customHeight="1" x14ac:dyDescent="0.3">
      <c r="A234" s="13" t="s">
        <v>26</v>
      </c>
      <c r="B234" s="14" t="s">
        <v>1712</v>
      </c>
      <c r="C234" s="14">
        <v>3.3</v>
      </c>
      <c r="D234" s="15" t="s">
        <v>2117</v>
      </c>
      <c r="E234" s="14" t="s">
        <v>665</v>
      </c>
      <c r="F234" s="16" t="s">
        <v>1843</v>
      </c>
      <c r="G234" s="16" t="s">
        <v>31</v>
      </c>
      <c r="H234" s="14">
        <v>1850</v>
      </c>
      <c r="I234" s="16" t="s">
        <v>32</v>
      </c>
      <c r="J234" s="16" t="s">
        <v>175</v>
      </c>
      <c r="K234" s="16" t="s">
        <v>175</v>
      </c>
      <c r="L234" s="16" t="s">
        <v>101</v>
      </c>
      <c r="M234" s="16">
        <v>-1</v>
      </c>
      <c r="N234" s="14">
        <v>71</v>
      </c>
      <c r="O234" s="14">
        <v>123</v>
      </c>
      <c r="P234" s="14">
        <v>97</v>
      </c>
      <c r="Q234" s="14">
        <v>176</v>
      </c>
      <c r="R234" s="17" t="str">
        <f>IF(Cleaned_DS_jobs!$Q234&lt;10,"little_age_company",IF(AND(Cleaned_DS_jobs!$Q234&gt;=10,Cleaned_DS_jobs!$Q234&lt;=20),"average_age_company","Big_age_company"))</f>
        <v>Big_age_company</v>
      </c>
    </row>
    <row r="235" spans="1:18" ht="19.95" customHeight="1" x14ac:dyDescent="0.3">
      <c r="A235" s="18" t="s">
        <v>802</v>
      </c>
      <c r="B235" s="19" t="s">
        <v>1712</v>
      </c>
      <c r="C235" s="19">
        <v>3.8</v>
      </c>
      <c r="D235" s="20" t="s">
        <v>2150</v>
      </c>
      <c r="E235" s="19" t="s">
        <v>805</v>
      </c>
      <c r="F235" s="21" t="s">
        <v>1864</v>
      </c>
      <c r="G235" s="21" t="s">
        <v>20</v>
      </c>
      <c r="H235" s="19">
        <v>2017</v>
      </c>
      <c r="I235" s="21" t="s">
        <v>32</v>
      </c>
      <c r="J235" s="21" t="s">
        <v>22</v>
      </c>
      <c r="K235" s="21" t="s">
        <v>23</v>
      </c>
      <c r="L235" s="21" t="s">
        <v>24</v>
      </c>
      <c r="M235" s="21">
        <v>-1</v>
      </c>
      <c r="N235" s="19">
        <v>71</v>
      </c>
      <c r="O235" s="19">
        <v>123</v>
      </c>
      <c r="P235" s="19">
        <v>97</v>
      </c>
      <c r="Q235" s="19">
        <v>9</v>
      </c>
      <c r="R235" s="22" t="str">
        <f>IF(Cleaned_DS_jobs!$Q235&lt;10,"little_age_company",IF(AND(Cleaned_DS_jobs!$Q235&gt;=10,Cleaned_DS_jobs!$Q235&lt;=20),"average_age_company","Big_age_company"))</f>
        <v>little_age_company</v>
      </c>
    </row>
    <row r="236" spans="1:18" ht="19.95" customHeight="1" x14ac:dyDescent="0.3">
      <c r="A236" s="13" t="s">
        <v>1675</v>
      </c>
      <c r="B236" s="14" t="s">
        <v>1712</v>
      </c>
      <c r="C236" s="14">
        <v>3.5</v>
      </c>
      <c r="D236" s="15" t="s">
        <v>2116</v>
      </c>
      <c r="E236" s="14" t="s">
        <v>19</v>
      </c>
      <c r="F236" s="16" t="s">
        <v>1842</v>
      </c>
      <c r="G236" s="16" t="s">
        <v>20</v>
      </c>
      <c r="H236" s="14">
        <v>1948</v>
      </c>
      <c r="I236" s="16" t="s">
        <v>32</v>
      </c>
      <c r="J236" s="16" t="s">
        <v>22</v>
      </c>
      <c r="K236" s="16" t="s">
        <v>23</v>
      </c>
      <c r="L236" s="16" t="s">
        <v>35</v>
      </c>
      <c r="M236" s="16">
        <v>-1</v>
      </c>
      <c r="N236" s="14">
        <v>71</v>
      </c>
      <c r="O236" s="14">
        <v>123</v>
      </c>
      <c r="P236" s="14">
        <v>97</v>
      </c>
      <c r="Q236" s="14">
        <v>78</v>
      </c>
      <c r="R236" s="17" t="str">
        <f>IF(Cleaned_DS_jobs!$Q236&lt;10,"little_age_company",IF(AND(Cleaned_DS_jobs!$Q236&gt;=10,Cleaned_DS_jobs!$Q236&lt;=20),"average_age_company","Big_age_company"))</f>
        <v>Big_age_company</v>
      </c>
    </row>
    <row r="237" spans="1:18" ht="19.95" customHeight="1" x14ac:dyDescent="0.3">
      <c r="A237" s="18" t="s">
        <v>26</v>
      </c>
      <c r="B237" s="19" t="s">
        <v>1712</v>
      </c>
      <c r="C237" s="19">
        <v>3.3</v>
      </c>
      <c r="D237" s="20" t="s">
        <v>2151</v>
      </c>
      <c r="E237" s="19" t="s">
        <v>808</v>
      </c>
      <c r="F237" s="21" t="s">
        <v>1865</v>
      </c>
      <c r="G237" s="21" t="s">
        <v>66</v>
      </c>
      <c r="H237" s="19">
        <v>1971</v>
      </c>
      <c r="I237" s="21" t="s">
        <v>32</v>
      </c>
      <c r="J237" s="21" t="s">
        <v>810</v>
      </c>
      <c r="K237" s="21" t="s">
        <v>513</v>
      </c>
      <c r="L237" s="21" t="s">
        <v>35</v>
      </c>
      <c r="M237" s="21" t="s">
        <v>811</v>
      </c>
      <c r="N237" s="19">
        <v>71</v>
      </c>
      <c r="O237" s="19">
        <v>123</v>
      </c>
      <c r="P237" s="19">
        <v>97</v>
      </c>
      <c r="Q237" s="19">
        <v>55</v>
      </c>
      <c r="R237" s="22" t="str">
        <f>IF(Cleaned_DS_jobs!$Q237&lt;10,"little_age_company",IF(AND(Cleaned_DS_jobs!$Q237&gt;=10,Cleaned_DS_jobs!$Q237&lt;=20),"average_age_company","Big_age_company"))</f>
        <v>Big_age_company</v>
      </c>
    </row>
    <row r="238" spans="1:18" ht="19.95" customHeight="1" x14ac:dyDescent="0.3">
      <c r="A238" s="13" t="s">
        <v>26</v>
      </c>
      <c r="B238" s="14" t="s">
        <v>1712</v>
      </c>
      <c r="C238" s="14">
        <v>4.5999999999999996</v>
      </c>
      <c r="D238" s="15" t="s">
        <v>2152</v>
      </c>
      <c r="E238" s="14" t="s">
        <v>143</v>
      </c>
      <c r="F238" s="16" t="s">
        <v>1866</v>
      </c>
      <c r="G238" s="16" t="s">
        <v>117</v>
      </c>
      <c r="H238" s="14">
        <v>-1</v>
      </c>
      <c r="I238" s="16" t="s">
        <v>53</v>
      </c>
      <c r="J238" s="16" t="s">
        <v>59</v>
      </c>
      <c r="K238" s="16" t="s">
        <v>60</v>
      </c>
      <c r="L238" s="16" t="s">
        <v>431</v>
      </c>
      <c r="M238" s="16">
        <v>-1</v>
      </c>
      <c r="N238" s="14">
        <v>71</v>
      </c>
      <c r="O238" s="14">
        <v>123</v>
      </c>
      <c r="P238" s="14">
        <v>97</v>
      </c>
      <c r="Q238" s="14">
        <v>-1</v>
      </c>
      <c r="R238" s="17" t="str">
        <f>IF(Cleaned_DS_jobs!$Q238&lt;10,"little_age_company",IF(AND(Cleaned_DS_jobs!$Q238&gt;=10,Cleaned_DS_jobs!$Q238&lt;=20),"average_age_company","Big_age_company"))</f>
        <v>little_age_company</v>
      </c>
    </row>
    <row r="239" spans="1:18" ht="19.95" customHeight="1" x14ac:dyDescent="0.3">
      <c r="A239" s="18" t="s">
        <v>26</v>
      </c>
      <c r="B239" s="19" t="s">
        <v>1712</v>
      </c>
      <c r="C239" s="19">
        <v>3.8</v>
      </c>
      <c r="D239" s="20" t="s">
        <v>2153</v>
      </c>
      <c r="E239" s="19" t="s">
        <v>817</v>
      </c>
      <c r="F239" s="21" t="s">
        <v>1847</v>
      </c>
      <c r="G239" s="21" t="s">
        <v>66</v>
      </c>
      <c r="H239" s="19">
        <v>1998</v>
      </c>
      <c r="I239" s="21" t="s">
        <v>32</v>
      </c>
      <c r="J239" s="21" t="s">
        <v>123</v>
      </c>
      <c r="K239" s="21" t="s">
        <v>60</v>
      </c>
      <c r="L239" s="21" t="s">
        <v>68</v>
      </c>
      <c r="M239" s="21" t="s">
        <v>818</v>
      </c>
      <c r="N239" s="19">
        <v>71</v>
      </c>
      <c r="O239" s="19">
        <v>123</v>
      </c>
      <c r="P239" s="19">
        <v>97</v>
      </c>
      <c r="Q239" s="19">
        <v>28</v>
      </c>
      <c r="R239" s="22" t="str">
        <f>IF(Cleaned_DS_jobs!$Q239&lt;10,"little_age_company",IF(AND(Cleaned_DS_jobs!$Q239&gt;=10,Cleaned_DS_jobs!$Q239&lt;=20),"average_age_company","Big_age_company"))</f>
        <v>Big_age_company</v>
      </c>
    </row>
    <row r="240" spans="1:18" ht="19.95" customHeight="1" x14ac:dyDescent="0.3">
      <c r="A240" s="13" t="s">
        <v>615</v>
      </c>
      <c r="B240" s="14" t="s">
        <v>1712</v>
      </c>
      <c r="C240" s="14">
        <v>3.9</v>
      </c>
      <c r="D240" s="15" t="s">
        <v>2118</v>
      </c>
      <c r="E240" s="14" t="s">
        <v>143</v>
      </c>
      <c r="F240" s="16" t="s">
        <v>1763</v>
      </c>
      <c r="G240" s="16" t="s">
        <v>52</v>
      </c>
      <c r="H240" s="14">
        <v>2008</v>
      </c>
      <c r="I240" s="16" t="s">
        <v>32</v>
      </c>
      <c r="J240" s="16" t="s">
        <v>123</v>
      </c>
      <c r="K240" s="16" t="s">
        <v>60</v>
      </c>
      <c r="L240" s="16" t="s">
        <v>24</v>
      </c>
      <c r="M240" s="16">
        <v>-1</v>
      </c>
      <c r="N240" s="14">
        <v>71</v>
      </c>
      <c r="O240" s="14">
        <v>123</v>
      </c>
      <c r="P240" s="14">
        <v>97</v>
      </c>
      <c r="Q240" s="14">
        <v>18</v>
      </c>
      <c r="R240" s="17" t="str">
        <f>IF(Cleaned_DS_jobs!$Q240&lt;10,"little_age_company",IF(AND(Cleaned_DS_jobs!$Q240&gt;=10,Cleaned_DS_jobs!$Q240&lt;=20),"average_age_company","Big_age_company"))</f>
        <v>average_age_company</v>
      </c>
    </row>
    <row r="241" spans="1:18" ht="19.95" customHeight="1" x14ac:dyDescent="0.3">
      <c r="A241" s="18" t="s">
        <v>26</v>
      </c>
      <c r="B241" s="19" t="s">
        <v>1712</v>
      </c>
      <c r="C241" s="19">
        <v>3.9</v>
      </c>
      <c r="D241" s="20" t="s">
        <v>2154</v>
      </c>
      <c r="E241" s="19" t="s">
        <v>130</v>
      </c>
      <c r="F241" s="21" t="s">
        <v>1867</v>
      </c>
      <c r="G241" s="21" t="s">
        <v>117</v>
      </c>
      <c r="H241" s="19">
        <v>-1</v>
      </c>
      <c r="I241" s="21" t="s">
        <v>53</v>
      </c>
      <c r="J241" s="21" t="s">
        <v>40</v>
      </c>
      <c r="K241" s="21" t="s">
        <v>34</v>
      </c>
      <c r="L241" s="21" t="s">
        <v>24</v>
      </c>
      <c r="M241" s="21">
        <v>-1</v>
      </c>
      <c r="N241" s="19">
        <v>71</v>
      </c>
      <c r="O241" s="19">
        <v>123</v>
      </c>
      <c r="P241" s="19">
        <v>97</v>
      </c>
      <c r="Q241" s="19">
        <v>-1</v>
      </c>
      <c r="R241" s="22" t="str">
        <f>IF(Cleaned_DS_jobs!$Q241&lt;10,"little_age_company",IF(AND(Cleaned_DS_jobs!$Q241&gt;=10,Cleaned_DS_jobs!$Q241&lt;=20),"average_age_company","Big_age_company"))</f>
        <v>little_age_company</v>
      </c>
    </row>
    <row r="242" spans="1:18" ht="19.95" customHeight="1" x14ac:dyDescent="0.3">
      <c r="A242" s="13" t="s">
        <v>26</v>
      </c>
      <c r="B242" s="14" t="s">
        <v>1713</v>
      </c>
      <c r="C242" s="14">
        <v>4.7</v>
      </c>
      <c r="D242" s="15" t="s">
        <v>1998</v>
      </c>
      <c r="E242" s="14" t="s">
        <v>163</v>
      </c>
      <c r="F242" s="16" t="s">
        <v>1765</v>
      </c>
      <c r="G242" s="16" t="s">
        <v>52</v>
      </c>
      <c r="H242" s="14">
        <v>2003</v>
      </c>
      <c r="I242" s="16" t="s">
        <v>53</v>
      </c>
      <c r="J242" s="16" t="s">
        <v>59</v>
      </c>
      <c r="K242" s="16" t="s">
        <v>60</v>
      </c>
      <c r="L242" s="16" t="s">
        <v>164</v>
      </c>
      <c r="M242" s="16">
        <v>-1</v>
      </c>
      <c r="N242" s="14">
        <v>90</v>
      </c>
      <c r="O242" s="14">
        <v>124</v>
      </c>
      <c r="P242" s="14">
        <v>107</v>
      </c>
      <c r="Q242" s="14">
        <v>23</v>
      </c>
      <c r="R242" s="17" t="str">
        <f>IF(Cleaned_DS_jobs!$Q242&lt;10,"little_age_company",IF(AND(Cleaned_DS_jobs!$Q242&gt;=10,Cleaned_DS_jobs!$Q242&lt;=20),"average_age_company","Big_age_company"))</f>
        <v>Big_age_company</v>
      </c>
    </row>
    <row r="243" spans="1:18" ht="19.95" customHeight="1" x14ac:dyDescent="0.3">
      <c r="A243" s="18" t="s">
        <v>185</v>
      </c>
      <c r="B243" s="19" t="s">
        <v>1713</v>
      </c>
      <c r="C243" s="19">
        <v>4.8</v>
      </c>
      <c r="D243" s="20" t="s">
        <v>2004</v>
      </c>
      <c r="E243" s="19" t="s">
        <v>188</v>
      </c>
      <c r="F243" s="21" t="s">
        <v>1769</v>
      </c>
      <c r="G243" s="21" t="s">
        <v>20</v>
      </c>
      <c r="H243" s="19">
        <v>1925</v>
      </c>
      <c r="I243" s="21" t="s">
        <v>53</v>
      </c>
      <c r="J243" s="21" t="s">
        <v>22</v>
      </c>
      <c r="K243" s="21" t="s">
        <v>23</v>
      </c>
      <c r="L243" s="21" t="s">
        <v>35</v>
      </c>
      <c r="M243" s="21">
        <v>-1</v>
      </c>
      <c r="N243" s="19">
        <v>90</v>
      </c>
      <c r="O243" s="19">
        <v>124</v>
      </c>
      <c r="P243" s="19">
        <v>107</v>
      </c>
      <c r="Q243" s="19">
        <v>101</v>
      </c>
      <c r="R243" s="22" t="str">
        <f>IF(Cleaned_DS_jobs!$Q243&lt;10,"little_age_company",IF(AND(Cleaned_DS_jobs!$Q243&gt;=10,Cleaned_DS_jobs!$Q243&lt;=20),"average_age_company","Big_age_company"))</f>
        <v>Big_age_company</v>
      </c>
    </row>
    <row r="244" spans="1:18" ht="19.95" customHeight="1" x14ac:dyDescent="0.3">
      <c r="A244" s="13" t="s">
        <v>823</v>
      </c>
      <c r="B244" s="14" t="s">
        <v>1713</v>
      </c>
      <c r="C244" s="14">
        <v>3.1</v>
      </c>
      <c r="D244" s="15" t="s">
        <v>2155</v>
      </c>
      <c r="E244" s="14" t="s">
        <v>19</v>
      </c>
      <c r="F244" s="16" t="s">
        <v>1744</v>
      </c>
      <c r="G244" s="16" t="s">
        <v>107</v>
      </c>
      <c r="H244" s="14">
        <v>2000</v>
      </c>
      <c r="I244" s="16" t="s">
        <v>53</v>
      </c>
      <c r="J244" s="16" t="s">
        <v>59</v>
      </c>
      <c r="K244" s="16" t="s">
        <v>60</v>
      </c>
      <c r="L244" s="16" t="s">
        <v>194</v>
      </c>
      <c r="M244" s="16">
        <v>-1</v>
      </c>
      <c r="N244" s="14">
        <v>90</v>
      </c>
      <c r="O244" s="14">
        <v>124</v>
      </c>
      <c r="P244" s="14">
        <v>107</v>
      </c>
      <c r="Q244" s="14">
        <v>26</v>
      </c>
      <c r="R244" s="17" t="str">
        <f>IF(Cleaned_DS_jobs!$Q244&lt;10,"little_age_company",IF(AND(Cleaned_DS_jobs!$Q244&gt;=10,Cleaned_DS_jobs!$Q244&lt;=20),"average_age_company","Big_age_company"))</f>
        <v>Big_age_company</v>
      </c>
    </row>
    <row r="245" spans="1:18" ht="19.95" customHeight="1" x14ac:dyDescent="0.3">
      <c r="A245" s="18" t="s">
        <v>26</v>
      </c>
      <c r="B245" s="19" t="s">
        <v>1713</v>
      </c>
      <c r="C245" s="19">
        <v>3.6</v>
      </c>
      <c r="D245" s="20" t="s">
        <v>2156</v>
      </c>
      <c r="E245" s="19" t="s">
        <v>236</v>
      </c>
      <c r="F245" s="21" t="s">
        <v>1751</v>
      </c>
      <c r="G245" s="21" t="s">
        <v>107</v>
      </c>
      <c r="H245" s="19">
        <v>2006</v>
      </c>
      <c r="I245" s="21" t="s">
        <v>53</v>
      </c>
      <c r="J245" s="21" t="s">
        <v>84</v>
      </c>
      <c r="K245" s="21" t="s">
        <v>60</v>
      </c>
      <c r="L245" s="21" t="s">
        <v>160</v>
      </c>
      <c r="M245" s="21">
        <v>-1</v>
      </c>
      <c r="N245" s="19">
        <v>90</v>
      </c>
      <c r="O245" s="19">
        <v>124</v>
      </c>
      <c r="P245" s="19">
        <v>107</v>
      </c>
      <c r="Q245" s="19">
        <v>20</v>
      </c>
      <c r="R245" s="22" t="str">
        <f>IF(Cleaned_DS_jobs!$Q245&lt;10,"little_age_company",IF(AND(Cleaned_DS_jobs!$Q245&gt;=10,Cleaned_DS_jobs!$Q245&lt;=20),"average_age_company","Big_age_company"))</f>
        <v>average_age_company</v>
      </c>
    </row>
    <row r="246" spans="1:18" ht="19.95" customHeight="1" x14ac:dyDescent="0.3">
      <c r="A246" s="13" t="s">
        <v>1683</v>
      </c>
      <c r="B246" s="14" t="s">
        <v>1713</v>
      </c>
      <c r="C246" s="14">
        <v>5</v>
      </c>
      <c r="D246" s="15" t="s">
        <v>2157</v>
      </c>
      <c r="E246" s="14" t="s">
        <v>831</v>
      </c>
      <c r="F246" s="16" t="s">
        <v>1868</v>
      </c>
      <c r="G246" s="16" t="s">
        <v>117</v>
      </c>
      <c r="H246" s="14">
        <v>2009</v>
      </c>
      <c r="I246" s="16" t="s">
        <v>53</v>
      </c>
      <c r="J246" s="16" t="s">
        <v>67</v>
      </c>
      <c r="K246" s="16" t="s">
        <v>67</v>
      </c>
      <c r="L246" s="16" t="s">
        <v>24</v>
      </c>
      <c r="M246" s="16">
        <v>-1</v>
      </c>
      <c r="N246" s="14">
        <v>90</v>
      </c>
      <c r="O246" s="14">
        <v>124</v>
      </c>
      <c r="P246" s="14">
        <v>107</v>
      </c>
      <c r="Q246" s="14">
        <v>17</v>
      </c>
      <c r="R246" s="17" t="str">
        <f>IF(Cleaned_DS_jobs!$Q246&lt;10,"little_age_company",IF(AND(Cleaned_DS_jobs!$Q246&gt;=10,Cleaned_DS_jobs!$Q246&lt;=20),"average_age_company","Big_age_company"))</f>
        <v>average_age_company</v>
      </c>
    </row>
    <row r="247" spans="1:18" ht="19.95" customHeight="1" x14ac:dyDescent="0.3">
      <c r="A247" s="18" t="s">
        <v>26</v>
      </c>
      <c r="B247" s="19" t="s">
        <v>1713</v>
      </c>
      <c r="C247" s="19">
        <v>3.7</v>
      </c>
      <c r="D247" s="20" t="s">
        <v>2158</v>
      </c>
      <c r="E247" s="19" t="s">
        <v>64</v>
      </c>
      <c r="F247" s="21" t="s">
        <v>1869</v>
      </c>
      <c r="G247" s="21" t="s">
        <v>66</v>
      </c>
      <c r="H247" s="19">
        <v>1973</v>
      </c>
      <c r="I247" s="21" t="s">
        <v>32</v>
      </c>
      <c r="J247" s="21" t="s">
        <v>67</v>
      </c>
      <c r="K247" s="21" t="s">
        <v>67</v>
      </c>
      <c r="L247" s="21" t="s">
        <v>68</v>
      </c>
      <c r="M247" s="21" t="s">
        <v>835</v>
      </c>
      <c r="N247" s="19">
        <v>90</v>
      </c>
      <c r="O247" s="19">
        <v>124</v>
      </c>
      <c r="P247" s="19">
        <v>107</v>
      </c>
      <c r="Q247" s="19">
        <v>53</v>
      </c>
      <c r="R247" s="22" t="str">
        <f>IF(Cleaned_DS_jobs!$Q247&lt;10,"little_age_company",IF(AND(Cleaned_DS_jobs!$Q247&gt;=10,Cleaned_DS_jobs!$Q247&lt;=20),"average_age_company","Big_age_company"))</f>
        <v>Big_age_company</v>
      </c>
    </row>
    <row r="248" spans="1:18" ht="19.95" customHeight="1" x14ac:dyDescent="0.3">
      <c r="A248" s="13" t="s">
        <v>26</v>
      </c>
      <c r="B248" s="14" t="s">
        <v>1713</v>
      </c>
      <c r="C248" s="14">
        <v>3.7</v>
      </c>
      <c r="D248" s="15" t="s">
        <v>2159</v>
      </c>
      <c r="E248" s="14" t="s">
        <v>838</v>
      </c>
      <c r="F248" s="16" t="s">
        <v>1870</v>
      </c>
      <c r="G248" s="16" t="s">
        <v>66</v>
      </c>
      <c r="H248" s="14">
        <v>2011</v>
      </c>
      <c r="I248" s="16" t="s">
        <v>32</v>
      </c>
      <c r="J248" s="16" t="s">
        <v>840</v>
      </c>
      <c r="K248" s="16" t="s">
        <v>281</v>
      </c>
      <c r="L248" s="16" t="s">
        <v>68</v>
      </c>
      <c r="M248" s="16" t="s">
        <v>841</v>
      </c>
      <c r="N248" s="14">
        <v>90</v>
      </c>
      <c r="O248" s="14">
        <v>124</v>
      </c>
      <c r="P248" s="14">
        <v>107</v>
      </c>
      <c r="Q248" s="14">
        <v>15</v>
      </c>
      <c r="R248" s="17" t="str">
        <f>IF(Cleaned_DS_jobs!$Q248&lt;10,"little_age_company",IF(AND(Cleaned_DS_jobs!$Q248&gt;=10,Cleaned_DS_jobs!$Q248&lt;=20),"average_age_company","Big_age_company"))</f>
        <v>average_age_company</v>
      </c>
    </row>
    <row r="249" spans="1:18" ht="19.95" customHeight="1" x14ac:dyDescent="0.3">
      <c r="A249" s="18" t="s">
        <v>26</v>
      </c>
      <c r="B249" s="19" t="s">
        <v>1713</v>
      </c>
      <c r="C249" s="19">
        <v>3.9</v>
      </c>
      <c r="D249" s="20" t="s">
        <v>2160</v>
      </c>
      <c r="E249" s="19" t="s">
        <v>844</v>
      </c>
      <c r="F249" s="21" t="s">
        <v>1871</v>
      </c>
      <c r="G249" s="21" t="s">
        <v>52</v>
      </c>
      <c r="H249" s="19">
        <v>2000</v>
      </c>
      <c r="I249" s="21" t="s">
        <v>53</v>
      </c>
      <c r="J249" s="21" t="s">
        <v>22</v>
      </c>
      <c r="K249" s="21" t="s">
        <v>23</v>
      </c>
      <c r="L249" s="21" t="s">
        <v>160</v>
      </c>
      <c r="M249" s="21">
        <v>-1</v>
      </c>
      <c r="N249" s="19">
        <v>90</v>
      </c>
      <c r="O249" s="19">
        <v>124</v>
      </c>
      <c r="P249" s="19">
        <v>107</v>
      </c>
      <c r="Q249" s="19">
        <v>26</v>
      </c>
      <c r="R249" s="22" t="str">
        <f>IF(Cleaned_DS_jobs!$Q249&lt;10,"little_age_company",IF(AND(Cleaned_DS_jobs!$Q249&gt;=10,Cleaned_DS_jobs!$Q249&lt;=20),"average_age_company","Big_age_company"))</f>
        <v>Big_age_company</v>
      </c>
    </row>
    <row r="250" spans="1:18" ht="19.95" customHeight="1" x14ac:dyDescent="0.3">
      <c r="A250" s="13" t="s">
        <v>26</v>
      </c>
      <c r="B250" s="14" t="s">
        <v>1713</v>
      </c>
      <c r="C250" s="14">
        <v>4.3</v>
      </c>
      <c r="D250" s="15" t="s">
        <v>2161</v>
      </c>
      <c r="E250" s="14" t="s">
        <v>143</v>
      </c>
      <c r="F250" s="16" t="s">
        <v>1872</v>
      </c>
      <c r="G250" s="16" t="s">
        <v>117</v>
      </c>
      <c r="H250" s="14">
        <v>-1</v>
      </c>
      <c r="I250" s="16" t="s">
        <v>53</v>
      </c>
      <c r="J250" s="16" t="s">
        <v>1972</v>
      </c>
      <c r="K250" s="16" t="s">
        <v>1972</v>
      </c>
      <c r="L250" s="16" t="s">
        <v>431</v>
      </c>
      <c r="M250" s="16">
        <v>-1</v>
      </c>
      <c r="N250" s="14">
        <v>90</v>
      </c>
      <c r="O250" s="14">
        <v>124</v>
      </c>
      <c r="P250" s="14">
        <v>107</v>
      </c>
      <c r="Q250" s="14">
        <v>-1</v>
      </c>
      <c r="R250" s="17" t="str">
        <f>IF(Cleaned_DS_jobs!$Q250&lt;10,"little_age_company",IF(AND(Cleaned_DS_jobs!$Q250&gt;=10,Cleaned_DS_jobs!$Q250&lt;=20),"average_age_company","Big_age_company"))</f>
        <v>little_age_company</v>
      </c>
    </row>
    <row r="251" spans="1:18" ht="19.95" customHeight="1" x14ac:dyDescent="0.3">
      <c r="A251" s="18" t="s">
        <v>849</v>
      </c>
      <c r="B251" s="19" t="s">
        <v>1713</v>
      </c>
      <c r="C251" s="19">
        <v>4.2</v>
      </c>
      <c r="D251" s="20" t="s">
        <v>2162</v>
      </c>
      <c r="E251" s="19" t="s">
        <v>852</v>
      </c>
      <c r="F251" s="21" t="s">
        <v>1873</v>
      </c>
      <c r="G251" s="21" t="s">
        <v>107</v>
      </c>
      <c r="H251" s="19">
        <v>1983</v>
      </c>
      <c r="I251" s="21" t="s">
        <v>53</v>
      </c>
      <c r="J251" s="21" t="s">
        <v>175</v>
      </c>
      <c r="K251" s="21" t="s">
        <v>175</v>
      </c>
      <c r="L251" s="21" t="s">
        <v>194</v>
      </c>
      <c r="M251" s="21" t="s">
        <v>854</v>
      </c>
      <c r="N251" s="19">
        <v>90</v>
      </c>
      <c r="O251" s="19">
        <v>124</v>
      </c>
      <c r="P251" s="19">
        <v>107</v>
      </c>
      <c r="Q251" s="19">
        <v>43</v>
      </c>
      <c r="R251" s="22" t="str">
        <f>IF(Cleaned_DS_jobs!$Q251&lt;10,"little_age_company",IF(AND(Cleaned_DS_jobs!$Q251&gt;=10,Cleaned_DS_jobs!$Q251&lt;=20),"average_age_company","Big_age_company"))</f>
        <v>Big_age_company</v>
      </c>
    </row>
    <row r="252" spans="1:18" ht="19.95" customHeight="1" x14ac:dyDescent="0.3">
      <c r="A252" s="13" t="s">
        <v>454</v>
      </c>
      <c r="B252" s="14" t="s">
        <v>1713</v>
      </c>
      <c r="C252" s="14">
        <v>3.7</v>
      </c>
      <c r="D252" s="15" t="s">
        <v>2119</v>
      </c>
      <c r="E252" s="14" t="s">
        <v>38</v>
      </c>
      <c r="F252" s="16" t="s">
        <v>1844</v>
      </c>
      <c r="G252" s="16" t="s">
        <v>31</v>
      </c>
      <c r="H252" s="14">
        <v>1851</v>
      </c>
      <c r="I252" s="16" t="s">
        <v>53</v>
      </c>
      <c r="J252" s="16" t="s">
        <v>22</v>
      </c>
      <c r="K252" s="16" t="s">
        <v>23</v>
      </c>
      <c r="L252" s="16" t="s">
        <v>68</v>
      </c>
      <c r="M252" s="16">
        <v>-1</v>
      </c>
      <c r="N252" s="14">
        <v>90</v>
      </c>
      <c r="O252" s="14">
        <v>124</v>
      </c>
      <c r="P252" s="14">
        <v>107</v>
      </c>
      <c r="Q252" s="14">
        <v>175</v>
      </c>
      <c r="R252" s="17" t="str">
        <f>IF(Cleaned_DS_jobs!$Q252&lt;10,"little_age_company",IF(AND(Cleaned_DS_jobs!$Q252&gt;=10,Cleaned_DS_jobs!$Q252&lt;=20),"average_age_company","Big_age_company"))</f>
        <v>Big_age_company</v>
      </c>
    </row>
    <row r="253" spans="1:18" ht="19.95" customHeight="1" x14ac:dyDescent="0.3">
      <c r="A253" s="18" t="s">
        <v>26</v>
      </c>
      <c r="B253" s="19" t="s">
        <v>1713</v>
      </c>
      <c r="C253" s="19">
        <v>4</v>
      </c>
      <c r="D253" s="20" t="s">
        <v>2163</v>
      </c>
      <c r="E253" s="19" t="s">
        <v>620</v>
      </c>
      <c r="F253" s="21" t="s">
        <v>1874</v>
      </c>
      <c r="G253" s="21" t="s">
        <v>117</v>
      </c>
      <c r="H253" s="19">
        <v>-1</v>
      </c>
      <c r="I253" s="21" t="s">
        <v>53</v>
      </c>
      <c r="J253" s="21" t="s">
        <v>1972</v>
      </c>
      <c r="K253" s="21" t="s">
        <v>1972</v>
      </c>
      <c r="L253" s="21" t="s">
        <v>24</v>
      </c>
      <c r="M253" s="21">
        <v>-1</v>
      </c>
      <c r="N253" s="19">
        <v>90</v>
      </c>
      <c r="O253" s="19">
        <v>124</v>
      </c>
      <c r="P253" s="19">
        <v>107</v>
      </c>
      <c r="Q253" s="19">
        <v>-1</v>
      </c>
      <c r="R253" s="22" t="str">
        <f>IF(Cleaned_DS_jobs!$Q253&lt;10,"little_age_company",IF(AND(Cleaned_DS_jobs!$Q253&gt;=10,Cleaned_DS_jobs!$Q253&lt;=20),"average_age_company","Big_age_company"))</f>
        <v>little_age_company</v>
      </c>
    </row>
    <row r="254" spans="1:18" ht="19.95" customHeight="1" x14ac:dyDescent="0.3">
      <c r="A254" s="13" t="s">
        <v>26</v>
      </c>
      <c r="B254" s="14" t="s">
        <v>1713</v>
      </c>
      <c r="C254" s="14">
        <v>3.3</v>
      </c>
      <c r="D254" s="15" t="s">
        <v>2164</v>
      </c>
      <c r="E254" s="14" t="s">
        <v>859</v>
      </c>
      <c r="F254" s="16" t="s">
        <v>1875</v>
      </c>
      <c r="G254" s="16" t="s">
        <v>66</v>
      </c>
      <c r="H254" s="14">
        <v>1917</v>
      </c>
      <c r="I254" s="16" t="s">
        <v>32</v>
      </c>
      <c r="J254" s="16" t="s">
        <v>338</v>
      </c>
      <c r="K254" s="16" t="s">
        <v>48</v>
      </c>
      <c r="L254" s="16" t="s">
        <v>68</v>
      </c>
      <c r="M254" s="16" t="s">
        <v>860</v>
      </c>
      <c r="N254" s="14">
        <v>90</v>
      </c>
      <c r="O254" s="14">
        <v>124</v>
      </c>
      <c r="P254" s="14">
        <v>107</v>
      </c>
      <c r="Q254" s="14">
        <v>109</v>
      </c>
      <c r="R254" s="17" t="str">
        <f>IF(Cleaned_DS_jobs!$Q254&lt;10,"little_age_company",IF(AND(Cleaned_DS_jobs!$Q254&gt;=10,Cleaned_DS_jobs!$Q254&lt;=20),"average_age_company","Big_age_company"))</f>
        <v>Big_age_company</v>
      </c>
    </row>
    <row r="255" spans="1:18" ht="19.95" customHeight="1" x14ac:dyDescent="0.3">
      <c r="A255" s="18" t="s">
        <v>26</v>
      </c>
      <c r="B255" s="19" t="s">
        <v>1713</v>
      </c>
      <c r="C255" s="19">
        <v>4.0999999999999996</v>
      </c>
      <c r="D255" s="20" t="s">
        <v>2165</v>
      </c>
      <c r="E255" s="19" t="s">
        <v>19</v>
      </c>
      <c r="F255" s="21" t="s">
        <v>1759</v>
      </c>
      <c r="G255" s="21" t="s">
        <v>20</v>
      </c>
      <c r="H255" s="19">
        <v>1935</v>
      </c>
      <c r="I255" s="21" t="s">
        <v>53</v>
      </c>
      <c r="J255" s="21" t="s">
        <v>40</v>
      </c>
      <c r="K255" s="21" t="s">
        <v>34</v>
      </c>
      <c r="L255" s="21" t="s">
        <v>24</v>
      </c>
      <c r="M255" s="21" t="s">
        <v>863</v>
      </c>
      <c r="N255" s="19">
        <v>90</v>
      </c>
      <c r="O255" s="19">
        <v>124</v>
      </c>
      <c r="P255" s="19">
        <v>107</v>
      </c>
      <c r="Q255" s="19">
        <v>91</v>
      </c>
      <c r="R255" s="22" t="str">
        <f>IF(Cleaned_DS_jobs!$Q255&lt;10,"little_age_company",IF(AND(Cleaned_DS_jobs!$Q255&gt;=10,Cleaned_DS_jobs!$Q255&lt;=20),"average_age_company","Big_age_company"))</f>
        <v>Big_age_company</v>
      </c>
    </row>
    <row r="256" spans="1:18" ht="19.95" customHeight="1" x14ac:dyDescent="0.3">
      <c r="A256" s="13" t="s">
        <v>26</v>
      </c>
      <c r="B256" s="14" t="s">
        <v>1713</v>
      </c>
      <c r="C256" s="14">
        <v>3.3</v>
      </c>
      <c r="D256" s="15" t="s">
        <v>2166</v>
      </c>
      <c r="E256" s="14" t="s">
        <v>19</v>
      </c>
      <c r="F256" s="16" t="s">
        <v>1744</v>
      </c>
      <c r="G256" s="16" t="s">
        <v>107</v>
      </c>
      <c r="H256" s="14">
        <v>2007</v>
      </c>
      <c r="I256" s="16" t="s">
        <v>53</v>
      </c>
      <c r="J256" s="16" t="s">
        <v>866</v>
      </c>
      <c r="K256" s="16" t="s">
        <v>469</v>
      </c>
      <c r="L256" s="16" t="s">
        <v>194</v>
      </c>
      <c r="M256" s="16">
        <v>-1</v>
      </c>
      <c r="N256" s="14">
        <v>90</v>
      </c>
      <c r="O256" s="14">
        <v>124</v>
      </c>
      <c r="P256" s="14">
        <v>107</v>
      </c>
      <c r="Q256" s="14">
        <v>19</v>
      </c>
      <c r="R256" s="17" t="str">
        <f>IF(Cleaned_DS_jobs!$Q256&lt;10,"little_age_company",IF(AND(Cleaned_DS_jobs!$Q256&gt;=10,Cleaned_DS_jobs!$Q256&lt;=20),"average_age_company","Big_age_company"))</f>
        <v>average_age_company</v>
      </c>
    </row>
    <row r="257" spans="1:18" ht="19.95" customHeight="1" x14ac:dyDescent="0.3">
      <c r="A257" s="18" t="s">
        <v>26</v>
      </c>
      <c r="B257" s="19" t="s">
        <v>1713</v>
      </c>
      <c r="C257" s="19">
        <v>3.9</v>
      </c>
      <c r="D257" s="20" t="s">
        <v>2167</v>
      </c>
      <c r="E257" s="19" t="s">
        <v>143</v>
      </c>
      <c r="F257" s="21" t="s">
        <v>1876</v>
      </c>
      <c r="G257" s="21" t="s">
        <v>107</v>
      </c>
      <c r="H257" s="19">
        <v>2009</v>
      </c>
      <c r="I257" s="21" t="s">
        <v>53</v>
      </c>
      <c r="J257" s="21" t="s">
        <v>92</v>
      </c>
      <c r="K257" s="21" t="s">
        <v>60</v>
      </c>
      <c r="L257" s="21" t="s">
        <v>24</v>
      </c>
      <c r="M257" s="21">
        <v>-1</v>
      </c>
      <c r="N257" s="19">
        <v>90</v>
      </c>
      <c r="O257" s="19">
        <v>124</v>
      </c>
      <c r="P257" s="19">
        <v>107</v>
      </c>
      <c r="Q257" s="19">
        <v>17</v>
      </c>
      <c r="R257" s="22" t="str">
        <f>IF(Cleaned_DS_jobs!$Q257&lt;10,"little_age_company",IF(AND(Cleaned_DS_jobs!$Q257&gt;=10,Cleaned_DS_jobs!$Q257&lt;=20),"average_age_company","Big_age_company"))</f>
        <v>average_age_company</v>
      </c>
    </row>
    <row r="258" spans="1:18" ht="19.95" customHeight="1" x14ac:dyDescent="0.3">
      <c r="A258" s="13" t="s">
        <v>870</v>
      </c>
      <c r="B258" s="14" t="s">
        <v>1713</v>
      </c>
      <c r="C258" s="14">
        <v>3.1</v>
      </c>
      <c r="D258" s="15" t="s">
        <v>2168</v>
      </c>
      <c r="E258" s="14" t="s">
        <v>873</v>
      </c>
      <c r="F258" s="16" t="s">
        <v>1877</v>
      </c>
      <c r="G258" s="16" t="s">
        <v>66</v>
      </c>
      <c r="H258" s="14">
        <v>1929</v>
      </c>
      <c r="I258" s="16" t="s">
        <v>21</v>
      </c>
      <c r="J258" s="16" t="s">
        <v>33</v>
      </c>
      <c r="K258" s="16" t="s">
        <v>34</v>
      </c>
      <c r="L258" s="16" t="s">
        <v>132</v>
      </c>
      <c r="M258" s="16">
        <v>-1</v>
      </c>
      <c r="N258" s="14">
        <v>90</v>
      </c>
      <c r="O258" s="14">
        <v>124</v>
      </c>
      <c r="P258" s="14">
        <v>107</v>
      </c>
      <c r="Q258" s="14">
        <v>97</v>
      </c>
      <c r="R258" s="17" t="str">
        <f>IF(Cleaned_DS_jobs!$Q258&lt;10,"little_age_company",IF(AND(Cleaned_DS_jobs!$Q258&gt;=10,Cleaned_DS_jobs!$Q258&lt;=20),"average_age_company","Big_age_company"))</f>
        <v>Big_age_company</v>
      </c>
    </row>
    <row r="259" spans="1:18" ht="19.95" customHeight="1" x14ac:dyDescent="0.3">
      <c r="A259" s="18" t="s">
        <v>680</v>
      </c>
      <c r="B259" s="19" t="s">
        <v>1713</v>
      </c>
      <c r="C259" s="19">
        <v>4.2</v>
      </c>
      <c r="D259" s="20" t="s">
        <v>2122</v>
      </c>
      <c r="E259" s="19" t="s">
        <v>30</v>
      </c>
      <c r="F259" s="21" t="s">
        <v>1745</v>
      </c>
      <c r="G259" s="21" t="s">
        <v>107</v>
      </c>
      <c r="H259" s="19">
        <v>2010</v>
      </c>
      <c r="I259" s="21" t="s">
        <v>53</v>
      </c>
      <c r="J259" s="21" t="s">
        <v>92</v>
      </c>
      <c r="K259" s="21" t="s">
        <v>60</v>
      </c>
      <c r="L259" s="21" t="s">
        <v>194</v>
      </c>
      <c r="M259" s="21" t="s">
        <v>683</v>
      </c>
      <c r="N259" s="19">
        <v>90</v>
      </c>
      <c r="O259" s="19">
        <v>124</v>
      </c>
      <c r="P259" s="19">
        <v>107</v>
      </c>
      <c r="Q259" s="19">
        <v>16</v>
      </c>
      <c r="R259" s="22" t="str">
        <f>IF(Cleaned_DS_jobs!$Q259&lt;10,"little_age_company",IF(AND(Cleaned_DS_jobs!$Q259&gt;=10,Cleaned_DS_jobs!$Q259&lt;=20),"average_age_company","Big_age_company"))</f>
        <v>average_age_company</v>
      </c>
    </row>
    <row r="260" spans="1:18" ht="19.95" customHeight="1" x14ac:dyDescent="0.3">
      <c r="A260" s="13" t="s">
        <v>26</v>
      </c>
      <c r="B260" s="14" t="s">
        <v>1713</v>
      </c>
      <c r="C260" s="14">
        <v>5</v>
      </c>
      <c r="D260" s="15" t="s">
        <v>2169</v>
      </c>
      <c r="E260" s="14" t="s">
        <v>19</v>
      </c>
      <c r="F260" s="16">
        <v>-1</v>
      </c>
      <c r="G260" s="16" t="s">
        <v>688</v>
      </c>
      <c r="H260" s="14">
        <v>-1</v>
      </c>
      <c r="I260" s="16" t="s">
        <v>688</v>
      </c>
      <c r="J260" s="16" t="s">
        <v>1972</v>
      </c>
      <c r="K260" s="16" t="s">
        <v>1972</v>
      </c>
      <c r="L260" s="16" t="s">
        <v>24</v>
      </c>
      <c r="M260" s="16">
        <v>-1</v>
      </c>
      <c r="N260" s="14">
        <v>90</v>
      </c>
      <c r="O260" s="14">
        <v>124</v>
      </c>
      <c r="P260" s="14">
        <v>107</v>
      </c>
      <c r="Q260" s="14">
        <v>-1</v>
      </c>
      <c r="R260" s="17" t="str">
        <f>IF(Cleaned_DS_jobs!$Q260&lt;10,"little_age_company",IF(AND(Cleaned_DS_jobs!$Q260&gt;=10,Cleaned_DS_jobs!$Q260&lt;=20),"average_age_company","Big_age_company"))</f>
        <v>little_age_company</v>
      </c>
    </row>
    <row r="261" spans="1:18" ht="19.95" customHeight="1" x14ac:dyDescent="0.3">
      <c r="A261" s="18" t="s">
        <v>1684</v>
      </c>
      <c r="B261" s="19" t="s">
        <v>1713</v>
      </c>
      <c r="C261" s="19">
        <v>2.9</v>
      </c>
      <c r="D261" s="20" t="s">
        <v>1977</v>
      </c>
      <c r="E261" s="19" t="s">
        <v>693</v>
      </c>
      <c r="F261" s="21" t="s">
        <v>1744</v>
      </c>
      <c r="G261" s="21" t="s">
        <v>52</v>
      </c>
      <c r="H261" s="19">
        <v>1998</v>
      </c>
      <c r="I261" s="21" t="s">
        <v>53</v>
      </c>
      <c r="J261" s="21" t="s">
        <v>54</v>
      </c>
      <c r="K261" s="21" t="s">
        <v>34</v>
      </c>
      <c r="L261" s="21" t="s">
        <v>24</v>
      </c>
      <c r="M261" s="21" t="s">
        <v>55</v>
      </c>
      <c r="N261" s="19">
        <v>90</v>
      </c>
      <c r="O261" s="19">
        <v>124</v>
      </c>
      <c r="P261" s="19">
        <v>107</v>
      </c>
      <c r="Q261" s="19">
        <v>28</v>
      </c>
      <c r="R261" s="22" t="str">
        <f>IF(Cleaned_DS_jobs!$Q261&lt;10,"little_age_company",IF(AND(Cleaned_DS_jobs!$Q261&gt;=10,Cleaned_DS_jobs!$Q261&lt;=20),"average_age_company","Big_age_company"))</f>
        <v>Big_age_company</v>
      </c>
    </row>
    <row r="262" spans="1:18" ht="19.95" customHeight="1" x14ac:dyDescent="0.3">
      <c r="A262" s="13" t="s">
        <v>690</v>
      </c>
      <c r="B262" s="14" t="s">
        <v>1713</v>
      </c>
      <c r="C262" s="14">
        <v>4.7</v>
      </c>
      <c r="D262" s="15" t="s">
        <v>2124</v>
      </c>
      <c r="E262" s="14" t="s">
        <v>143</v>
      </c>
      <c r="F262" s="16" t="s">
        <v>1847</v>
      </c>
      <c r="G262" s="16" t="s">
        <v>46</v>
      </c>
      <c r="H262" s="14">
        <v>1999</v>
      </c>
      <c r="I262" s="16" t="s">
        <v>301</v>
      </c>
      <c r="J262" s="16" t="s">
        <v>59</v>
      </c>
      <c r="K262" s="16" t="s">
        <v>60</v>
      </c>
      <c r="L262" s="16" t="s">
        <v>24</v>
      </c>
      <c r="M262" s="16">
        <v>-1</v>
      </c>
      <c r="N262" s="14">
        <v>90</v>
      </c>
      <c r="O262" s="14">
        <v>124</v>
      </c>
      <c r="P262" s="14">
        <v>107</v>
      </c>
      <c r="Q262" s="14">
        <v>27</v>
      </c>
      <c r="R262" s="17" t="str">
        <f>IF(Cleaned_DS_jobs!$Q262&lt;10,"little_age_company",IF(AND(Cleaned_DS_jobs!$Q262&gt;=10,Cleaned_DS_jobs!$Q262&lt;=20),"average_age_company","Big_age_company"))</f>
        <v>Big_age_company</v>
      </c>
    </row>
    <row r="263" spans="1:18" ht="19.95" customHeight="1" x14ac:dyDescent="0.3">
      <c r="A263" s="18" t="s">
        <v>684</v>
      </c>
      <c r="B263" s="19" t="s">
        <v>1713</v>
      </c>
      <c r="C263" s="19">
        <v>3.6</v>
      </c>
      <c r="D263" s="20" t="s">
        <v>2123</v>
      </c>
      <c r="E263" s="19" t="s">
        <v>687</v>
      </c>
      <c r="F263" s="21" t="s">
        <v>1846</v>
      </c>
      <c r="G263" s="21" t="s">
        <v>688</v>
      </c>
      <c r="H263" s="19">
        <v>1995</v>
      </c>
      <c r="I263" s="21" t="s">
        <v>301</v>
      </c>
      <c r="J263" s="21" t="s">
        <v>54</v>
      </c>
      <c r="K263" s="21" t="s">
        <v>34</v>
      </c>
      <c r="L263" s="21" t="s">
        <v>24</v>
      </c>
      <c r="M263" s="21" t="s">
        <v>689</v>
      </c>
      <c r="N263" s="19">
        <v>90</v>
      </c>
      <c r="O263" s="19">
        <v>124</v>
      </c>
      <c r="P263" s="19">
        <v>107</v>
      </c>
      <c r="Q263" s="19">
        <v>31</v>
      </c>
      <c r="R263" s="22" t="str">
        <f>IF(Cleaned_DS_jobs!$Q263&lt;10,"little_age_company",IF(AND(Cleaned_DS_jobs!$Q263&gt;=10,Cleaned_DS_jobs!$Q263&lt;=20),"average_age_company","Big_age_company"))</f>
        <v>Big_age_company</v>
      </c>
    </row>
    <row r="264" spans="1:18" ht="19.95" customHeight="1" x14ac:dyDescent="0.3">
      <c r="A264" s="13" t="s">
        <v>171</v>
      </c>
      <c r="B264" s="14" t="s">
        <v>1714</v>
      </c>
      <c r="C264" s="14">
        <v>3.8</v>
      </c>
      <c r="D264" s="15" t="s">
        <v>2000</v>
      </c>
      <c r="E264" s="14" t="s">
        <v>174</v>
      </c>
      <c r="F264" s="16" t="s">
        <v>1767</v>
      </c>
      <c r="G264" s="16" t="s">
        <v>20</v>
      </c>
      <c r="H264" s="14">
        <v>1951</v>
      </c>
      <c r="I264" s="16" t="s">
        <v>21</v>
      </c>
      <c r="J264" s="16" t="s">
        <v>175</v>
      </c>
      <c r="K264" s="16" t="s">
        <v>175</v>
      </c>
      <c r="L264" s="16" t="s">
        <v>24</v>
      </c>
      <c r="M264" s="16">
        <v>-1</v>
      </c>
      <c r="N264" s="14">
        <v>91</v>
      </c>
      <c r="O264" s="14">
        <v>150</v>
      </c>
      <c r="P264" s="14">
        <v>120.5</v>
      </c>
      <c r="Q264" s="14">
        <v>75</v>
      </c>
      <c r="R264" s="17" t="str">
        <f>IF(Cleaned_DS_jobs!$Q264&lt;10,"little_age_company",IF(AND(Cleaned_DS_jobs!$Q264&gt;=10,Cleaned_DS_jobs!$Q264&lt;=20),"average_age_company","Big_age_company"))</f>
        <v>Big_age_company</v>
      </c>
    </row>
    <row r="265" spans="1:18" ht="19.95" customHeight="1" x14ac:dyDescent="0.3">
      <c r="A265" s="18" t="s">
        <v>196</v>
      </c>
      <c r="B265" s="19" t="s">
        <v>1714</v>
      </c>
      <c r="C265" s="19">
        <v>3.3</v>
      </c>
      <c r="D265" s="20" t="s">
        <v>2006</v>
      </c>
      <c r="E265" s="19" t="s">
        <v>199</v>
      </c>
      <c r="F265" s="21" t="s">
        <v>1771</v>
      </c>
      <c r="G265" s="21" t="s">
        <v>20</v>
      </c>
      <c r="H265" s="19">
        <v>1999</v>
      </c>
      <c r="I265" s="21" t="s">
        <v>53</v>
      </c>
      <c r="J265" s="21" t="s">
        <v>201</v>
      </c>
      <c r="K265" s="21" t="s">
        <v>100</v>
      </c>
      <c r="L265" s="21" t="s">
        <v>79</v>
      </c>
      <c r="M265" s="21">
        <v>-1</v>
      </c>
      <c r="N265" s="19">
        <v>91</v>
      </c>
      <c r="O265" s="19">
        <v>150</v>
      </c>
      <c r="P265" s="19">
        <v>120.5</v>
      </c>
      <c r="Q265" s="19">
        <v>27</v>
      </c>
      <c r="R265" s="22" t="str">
        <f>IF(Cleaned_DS_jobs!$Q265&lt;10,"little_age_company",IF(AND(Cleaned_DS_jobs!$Q265&gt;=10,Cleaned_DS_jobs!$Q265&lt;=20),"average_age_company","Big_age_company"))</f>
        <v>Big_age_company</v>
      </c>
    </row>
    <row r="266" spans="1:18" ht="19.95" customHeight="1" x14ac:dyDescent="0.3">
      <c r="A266" s="13" t="s">
        <v>880</v>
      </c>
      <c r="B266" s="14" t="s">
        <v>1714</v>
      </c>
      <c r="C266" s="14">
        <v>3.7</v>
      </c>
      <c r="D266" s="15" t="s">
        <v>2170</v>
      </c>
      <c r="E266" s="14" t="s">
        <v>97</v>
      </c>
      <c r="F266" s="16" t="s">
        <v>1755</v>
      </c>
      <c r="G266" s="16" t="s">
        <v>20</v>
      </c>
      <c r="H266" s="14">
        <v>1965</v>
      </c>
      <c r="I266" s="16" t="s">
        <v>98</v>
      </c>
      <c r="J266" s="16" t="s">
        <v>99</v>
      </c>
      <c r="K266" s="16" t="s">
        <v>100</v>
      </c>
      <c r="L266" s="16" t="s">
        <v>101</v>
      </c>
      <c r="M266" s="16" t="s">
        <v>102</v>
      </c>
      <c r="N266" s="14">
        <v>91</v>
      </c>
      <c r="O266" s="14">
        <v>150</v>
      </c>
      <c r="P266" s="14">
        <v>120.5</v>
      </c>
      <c r="Q266" s="14">
        <v>61</v>
      </c>
      <c r="R266" s="17" t="str">
        <f>IF(Cleaned_DS_jobs!$Q266&lt;10,"little_age_company",IF(AND(Cleaned_DS_jobs!$Q266&gt;=10,Cleaned_DS_jobs!$Q266&lt;=20),"average_age_company","Big_age_company"))</f>
        <v>Big_age_company</v>
      </c>
    </row>
    <row r="267" spans="1:18" ht="19.95" customHeight="1" x14ac:dyDescent="0.3">
      <c r="A267" s="18" t="s">
        <v>1685</v>
      </c>
      <c r="B267" s="19" t="s">
        <v>1714</v>
      </c>
      <c r="C267" s="19">
        <v>3.8</v>
      </c>
      <c r="D267" s="20" t="s">
        <v>1975</v>
      </c>
      <c r="E267" s="19" t="s">
        <v>38</v>
      </c>
      <c r="F267" s="21" t="s">
        <v>1746</v>
      </c>
      <c r="G267" s="21" t="s">
        <v>20</v>
      </c>
      <c r="H267" s="19">
        <v>1981</v>
      </c>
      <c r="I267" s="21" t="s">
        <v>39</v>
      </c>
      <c r="J267" s="21" t="s">
        <v>40</v>
      </c>
      <c r="K267" s="21" t="s">
        <v>34</v>
      </c>
      <c r="L267" s="21" t="s">
        <v>41</v>
      </c>
      <c r="M267" s="21">
        <v>-1</v>
      </c>
      <c r="N267" s="19">
        <v>91</v>
      </c>
      <c r="O267" s="19">
        <v>150</v>
      </c>
      <c r="P267" s="19">
        <v>120.5</v>
      </c>
      <c r="Q267" s="19">
        <v>45</v>
      </c>
      <c r="R267" s="22" t="str">
        <f>IF(Cleaned_DS_jobs!$Q267&lt;10,"little_age_company",IF(AND(Cleaned_DS_jobs!$Q267&gt;=10,Cleaned_DS_jobs!$Q267&lt;=20),"average_age_company","Big_age_company"))</f>
        <v>Big_age_company</v>
      </c>
    </row>
    <row r="268" spans="1:18" ht="19.95" customHeight="1" x14ac:dyDescent="0.3">
      <c r="A268" s="13" t="s">
        <v>26</v>
      </c>
      <c r="B268" s="14" t="s">
        <v>1714</v>
      </c>
      <c r="C268" s="14">
        <v>3.2</v>
      </c>
      <c r="D268" s="15" t="s">
        <v>2171</v>
      </c>
      <c r="E268" s="14" t="s">
        <v>371</v>
      </c>
      <c r="F268" s="16" t="s">
        <v>1800</v>
      </c>
      <c r="G268" s="16" t="s">
        <v>20</v>
      </c>
      <c r="H268" s="14">
        <v>1820</v>
      </c>
      <c r="I268" s="16" t="s">
        <v>21</v>
      </c>
      <c r="J268" s="16" t="s">
        <v>67</v>
      </c>
      <c r="K268" s="16" t="s">
        <v>67</v>
      </c>
      <c r="L268" s="16" t="s">
        <v>41</v>
      </c>
      <c r="M268" s="16">
        <v>-1</v>
      </c>
      <c r="N268" s="14">
        <v>91</v>
      </c>
      <c r="O268" s="14">
        <v>150</v>
      </c>
      <c r="P268" s="14">
        <v>120.5</v>
      </c>
      <c r="Q268" s="14">
        <v>206</v>
      </c>
      <c r="R268" s="17" t="str">
        <f>IF(Cleaned_DS_jobs!$Q268&lt;10,"little_age_company",IF(AND(Cleaned_DS_jobs!$Q268&gt;=10,Cleaned_DS_jobs!$Q268&lt;=20),"average_age_company","Big_age_company"))</f>
        <v>Big_age_company</v>
      </c>
    </row>
    <row r="269" spans="1:18" ht="19.95" customHeight="1" x14ac:dyDescent="0.3">
      <c r="A269" s="18" t="s">
        <v>26</v>
      </c>
      <c r="B269" s="19" t="s">
        <v>1714</v>
      </c>
      <c r="C269" s="19">
        <v>4.5999999999999996</v>
      </c>
      <c r="D269" s="20" t="s">
        <v>2172</v>
      </c>
      <c r="E269" s="19" t="s">
        <v>889</v>
      </c>
      <c r="F269" s="21" t="s">
        <v>1878</v>
      </c>
      <c r="G269" s="21" t="s">
        <v>107</v>
      </c>
      <c r="H269" s="19">
        <v>2010</v>
      </c>
      <c r="I269" s="21" t="s">
        <v>53</v>
      </c>
      <c r="J269" s="21" t="s">
        <v>92</v>
      </c>
      <c r="K269" s="21" t="s">
        <v>60</v>
      </c>
      <c r="L269" s="21" t="s">
        <v>160</v>
      </c>
      <c r="M269" s="21">
        <v>-1</v>
      </c>
      <c r="N269" s="19">
        <v>91</v>
      </c>
      <c r="O269" s="19">
        <v>150</v>
      </c>
      <c r="P269" s="19">
        <v>120.5</v>
      </c>
      <c r="Q269" s="19">
        <v>16</v>
      </c>
      <c r="R269" s="22" t="str">
        <f>IF(Cleaned_DS_jobs!$Q269&lt;10,"little_age_company",IF(AND(Cleaned_DS_jobs!$Q269&gt;=10,Cleaned_DS_jobs!$Q269&lt;=20),"average_age_company","Big_age_company"))</f>
        <v>average_age_company</v>
      </c>
    </row>
    <row r="270" spans="1:18" ht="19.95" customHeight="1" x14ac:dyDescent="0.3">
      <c r="A270" s="13" t="s">
        <v>26</v>
      </c>
      <c r="B270" s="14" t="s">
        <v>1714</v>
      </c>
      <c r="C270" s="14">
        <v>3.5</v>
      </c>
      <c r="D270" s="15" t="s">
        <v>2173</v>
      </c>
      <c r="E270" s="14" t="s">
        <v>693</v>
      </c>
      <c r="F270" s="16" t="s">
        <v>1847</v>
      </c>
      <c r="G270" s="16" t="s">
        <v>66</v>
      </c>
      <c r="H270" s="14">
        <v>1995</v>
      </c>
      <c r="I270" s="16" t="s">
        <v>32</v>
      </c>
      <c r="J270" s="16" t="s">
        <v>123</v>
      </c>
      <c r="K270" s="16" t="s">
        <v>60</v>
      </c>
      <c r="L270" s="16" t="s">
        <v>68</v>
      </c>
      <c r="M270" s="16" t="s">
        <v>892</v>
      </c>
      <c r="N270" s="14">
        <v>91</v>
      </c>
      <c r="O270" s="14">
        <v>150</v>
      </c>
      <c r="P270" s="14">
        <v>120.5</v>
      </c>
      <c r="Q270" s="14">
        <v>31</v>
      </c>
      <c r="R270" s="17" t="str">
        <f>IF(Cleaned_DS_jobs!$Q270&lt;10,"little_age_company",IF(AND(Cleaned_DS_jobs!$Q270&gt;=10,Cleaned_DS_jobs!$Q270&lt;=20),"average_age_company","Big_age_company"))</f>
        <v>Big_age_company</v>
      </c>
    </row>
    <row r="271" spans="1:18" ht="19.95" customHeight="1" x14ac:dyDescent="0.3">
      <c r="A271" s="18" t="s">
        <v>893</v>
      </c>
      <c r="B271" s="19" t="s">
        <v>1714</v>
      </c>
      <c r="C271" s="19">
        <v>5</v>
      </c>
      <c r="D271" s="20" t="s">
        <v>2174</v>
      </c>
      <c r="E271" s="19" t="s">
        <v>19</v>
      </c>
      <c r="F271" s="21" t="s">
        <v>1744</v>
      </c>
      <c r="G271" s="21" t="s">
        <v>117</v>
      </c>
      <c r="H271" s="19">
        <v>2018</v>
      </c>
      <c r="I271" s="21" t="s">
        <v>53</v>
      </c>
      <c r="J271" s="21" t="s">
        <v>84</v>
      </c>
      <c r="K271" s="21" t="s">
        <v>60</v>
      </c>
      <c r="L271" s="21" t="s">
        <v>24</v>
      </c>
      <c r="M271" s="21">
        <v>-1</v>
      </c>
      <c r="N271" s="19">
        <v>91</v>
      </c>
      <c r="O271" s="19">
        <v>150</v>
      </c>
      <c r="P271" s="19">
        <v>120.5</v>
      </c>
      <c r="Q271" s="19">
        <v>8</v>
      </c>
      <c r="R271" s="22" t="str">
        <f>IF(Cleaned_DS_jobs!$Q271&lt;10,"little_age_company",IF(AND(Cleaned_DS_jobs!$Q271&gt;=10,Cleaned_DS_jobs!$Q271&lt;=20),"average_age_company","Big_age_company"))</f>
        <v>little_age_company</v>
      </c>
    </row>
    <row r="272" spans="1:18" ht="19.95" customHeight="1" x14ac:dyDescent="0.3">
      <c r="A272" s="13" t="s">
        <v>189</v>
      </c>
      <c r="B272" s="14" t="s">
        <v>1714</v>
      </c>
      <c r="C272" s="14">
        <v>4.0999999999999996</v>
      </c>
      <c r="D272" s="15" t="s">
        <v>2125</v>
      </c>
      <c r="E272" s="14" t="s">
        <v>258</v>
      </c>
      <c r="F272" s="16" t="s">
        <v>1751</v>
      </c>
      <c r="G272" s="16" t="s">
        <v>52</v>
      </c>
      <c r="H272" s="14">
        <v>2011</v>
      </c>
      <c r="I272" s="16" t="s">
        <v>53</v>
      </c>
      <c r="J272" s="16" t="s">
        <v>92</v>
      </c>
      <c r="K272" s="16" t="s">
        <v>60</v>
      </c>
      <c r="L272" s="16" t="s">
        <v>24</v>
      </c>
      <c r="M272" s="16">
        <v>-1</v>
      </c>
      <c r="N272" s="14">
        <v>91</v>
      </c>
      <c r="O272" s="14">
        <v>150</v>
      </c>
      <c r="P272" s="14">
        <v>120.5</v>
      </c>
      <c r="Q272" s="14">
        <v>15</v>
      </c>
      <c r="R272" s="17" t="str">
        <f>IF(Cleaned_DS_jobs!$Q272&lt;10,"little_age_company",IF(AND(Cleaned_DS_jobs!$Q272&gt;=10,Cleaned_DS_jobs!$Q272&lt;=20),"average_age_company","Big_age_company"))</f>
        <v>average_age_company</v>
      </c>
    </row>
    <row r="273" spans="1:18" ht="19.95" customHeight="1" x14ac:dyDescent="0.3">
      <c r="A273" s="18" t="s">
        <v>896</v>
      </c>
      <c r="B273" s="19" t="s">
        <v>1714</v>
      </c>
      <c r="C273" s="19">
        <v>4.0999999999999996</v>
      </c>
      <c r="D273" s="20" t="s">
        <v>2175</v>
      </c>
      <c r="E273" s="19" t="s">
        <v>899</v>
      </c>
      <c r="F273" s="21" t="s">
        <v>1879</v>
      </c>
      <c r="G273" s="21" t="s">
        <v>20</v>
      </c>
      <c r="H273" s="19">
        <v>1981</v>
      </c>
      <c r="I273" s="21" t="s">
        <v>32</v>
      </c>
      <c r="J273" s="21" t="s">
        <v>67</v>
      </c>
      <c r="K273" s="21" t="s">
        <v>67</v>
      </c>
      <c r="L273" s="21" t="s">
        <v>41</v>
      </c>
      <c r="M273" s="21" t="s">
        <v>900</v>
      </c>
      <c r="N273" s="19">
        <v>91</v>
      </c>
      <c r="O273" s="19">
        <v>150</v>
      </c>
      <c r="P273" s="19">
        <v>120.5</v>
      </c>
      <c r="Q273" s="19">
        <v>45</v>
      </c>
      <c r="R273" s="22" t="str">
        <f>IF(Cleaned_DS_jobs!$Q273&lt;10,"little_age_company",IF(AND(Cleaned_DS_jobs!$Q273&gt;=10,Cleaned_DS_jobs!$Q273&lt;=20),"average_age_company","Big_age_company"))</f>
        <v>Big_age_company</v>
      </c>
    </row>
    <row r="274" spans="1:18" ht="19.95" customHeight="1" x14ac:dyDescent="0.3">
      <c r="A274" s="13" t="s">
        <v>26</v>
      </c>
      <c r="B274" s="14" t="s">
        <v>1714</v>
      </c>
      <c r="C274" s="14">
        <v>3.5</v>
      </c>
      <c r="D274" s="15" t="s">
        <v>2176</v>
      </c>
      <c r="E274" s="14" t="s">
        <v>19</v>
      </c>
      <c r="F274" s="16" t="s">
        <v>1880</v>
      </c>
      <c r="G274" s="16" t="s">
        <v>66</v>
      </c>
      <c r="H274" s="14">
        <v>1963</v>
      </c>
      <c r="I274" s="16" t="s">
        <v>32</v>
      </c>
      <c r="J274" s="16" t="s">
        <v>1972</v>
      </c>
      <c r="K274" s="16" t="s">
        <v>1972</v>
      </c>
      <c r="L274" s="16" t="s">
        <v>68</v>
      </c>
      <c r="M274" s="16" t="s">
        <v>904</v>
      </c>
      <c r="N274" s="14">
        <v>91</v>
      </c>
      <c r="O274" s="14">
        <v>150</v>
      </c>
      <c r="P274" s="14">
        <v>120.5</v>
      </c>
      <c r="Q274" s="14">
        <v>63</v>
      </c>
      <c r="R274" s="17" t="str">
        <f>IF(Cleaned_DS_jobs!$Q274&lt;10,"little_age_company",IF(AND(Cleaned_DS_jobs!$Q274&gt;=10,Cleaned_DS_jobs!$Q274&lt;=20),"average_age_company","Big_age_company"))</f>
        <v>Big_age_company</v>
      </c>
    </row>
    <row r="275" spans="1:18" ht="19.95" customHeight="1" x14ac:dyDescent="0.3">
      <c r="A275" s="18" t="s">
        <v>26</v>
      </c>
      <c r="B275" s="19" t="s">
        <v>1714</v>
      </c>
      <c r="C275" s="19">
        <v>3.2</v>
      </c>
      <c r="D275" s="20" t="s">
        <v>2177</v>
      </c>
      <c r="E275" s="19" t="s">
        <v>263</v>
      </c>
      <c r="F275" s="21" t="s">
        <v>1833</v>
      </c>
      <c r="G275" s="21" t="s">
        <v>52</v>
      </c>
      <c r="H275" s="19">
        <v>2011</v>
      </c>
      <c r="I275" s="21" t="s">
        <v>53</v>
      </c>
      <c r="J275" s="21" t="s">
        <v>92</v>
      </c>
      <c r="K275" s="21" t="s">
        <v>60</v>
      </c>
      <c r="L275" s="21" t="s">
        <v>160</v>
      </c>
      <c r="M275" s="21">
        <v>-1</v>
      </c>
      <c r="N275" s="19">
        <v>91</v>
      </c>
      <c r="O275" s="19">
        <v>150</v>
      </c>
      <c r="P275" s="19">
        <v>120.5</v>
      </c>
      <c r="Q275" s="19">
        <v>15</v>
      </c>
      <c r="R275" s="22" t="str">
        <f>IF(Cleaned_DS_jobs!$Q275&lt;10,"little_age_company",IF(AND(Cleaned_DS_jobs!$Q275&gt;=10,Cleaned_DS_jobs!$Q275&lt;=20),"average_age_company","Big_age_company"))</f>
        <v>average_age_company</v>
      </c>
    </row>
    <row r="276" spans="1:18" ht="19.95" customHeight="1" x14ac:dyDescent="0.3">
      <c r="A276" s="13" t="s">
        <v>26</v>
      </c>
      <c r="B276" s="14" t="s">
        <v>1714</v>
      </c>
      <c r="C276" s="14">
        <v>5</v>
      </c>
      <c r="D276" s="15" t="s">
        <v>2126</v>
      </c>
      <c r="E276" s="14" t="s">
        <v>143</v>
      </c>
      <c r="F276" s="16" t="s">
        <v>1848</v>
      </c>
      <c r="G276" s="16" t="s">
        <v>688</v>
      </c>
      <c r="H276" s="14">
        <v>-1</v>
      </c>
      <c r="I276" s="16" t="s">
        <v>32</v>
      </c>
      <c r="J276" s="16" t="s">
        <v>1972</v>
      </c>
      <c r="K276" s="16" t="s">
        <v>1972</v>
      </c>
      <c r="L276" s="16" t="s">
        <v>24</v>
      </c>
      <c r="M276" s="16">
        <v>-1</v>
      </c>
      <c r="N276" s="14">
        <v>91</v>
      </c>
      <c r="O276" s="14">
        <v>150</v>
      </c>
      <c r="P276" s="14">
        <v>120.5</v>
      </c>
      <c r="Q276" s="14">
        <v>-1</v>
      </c>
      <c r="R276" s="17" t="str">
        <f>IF(Cleaned_DS_jobs!$Q276&lt;10,"little_age_company",IF(AND(Cleaned_DS_jobs!$Q276&gt;=10,Cleaned_DS_jobs!$Q276&lt;=20),"average_age_company","Big_age_company"))</f>
        <v>little_age_company</v>
      </c>
    </row>
    <row r="277" spans="1:18" ht="19.95" customHeight="1" x14ac:dyDescent="0.3">
      <c r="A277" s="18" t="s">
        <v>26</v>
      </c>
      <c r="B277" s="19" t="s">
        <v>1714</v>
      </c>
      <c r="C277" s="19">
        <v>4.7</v>
      </c>
      <c r="D277" s="20" t="s">
        <v>2178</v>
      </c>
      <c r="E277" s="19" t="s">
        <v>909</v>
      </c>
      <c r="F277" s="21" t="s">
        <v>1881</v>
      </c>
      <c r="G277" s="21" t="s">
        <v>20</v>
      </c>
      <c r="H277" s="19">
        <v>1952</v>
      </c>
      <c r="I277" s="21" t="s">
        <v>98</v>
      </c>
      <c r="J277" s="21" t="s">
        <v>118</v>
      </c>
      <c r="K277" s="21" t="s">
        <v>98</v>
      </c>
      <c r="L277" s="21" t="s">
        <v>35</v>
      </c>
      <c r="M277" s="21" t="s">
        <v>910</v>
      </c>
      <c r="N277" s="19">
        <v>91</v>
      </c>
      <c r="O277" s="19">
        <v>150</v>
      </c>
      <c r="P277" s="19">
        <v>120.5</v>
      </c>
      <c r="Q277" s="19">
        <v>74</v>
      </c>
      <c r="R277" s="22" t="str">
        <f>IF(Cleaned_DS_jobs!$Q277&lt;10,"little_age_company",IF(AND(Cleaned_DS_jobs!$Q277&gt;=10,Cleaned_DS_jobs!$Q277&lt;=20),"average_age_company","Big_age_company"))</f>
        <v>Big_age_company</v>
      </c>
    </row>
    <row r="278" spans="1:18" ht="19.95" customHeight="1" x14ac:dyDescent="0.3">
      <c r="A278" s="13" t="s">
        <v>1686</v>
      </c>
      <c r="B278" s="14" t="s">
        <v>1714</v>
      </c>
      <c r="C278" s="14">
        <v>3.8</v>
      </c>
      <c r="D278" s="15" t="s">
        <v>2179</v>
      </c>
      <c r="E278" s="14" t="s">
        <v>914</v>
      </c>
      <c r="F278" s="16" t="s">
        <v>1882</v>
      </c>
      <c r="G278" s="16" t="s">
        <v>107</v>
      </c>
      <c r="H278" s="14">
        <v>1932</v>
      </c>
      <c r="I278" s="16" t="s">
        <v>53</v>
      </c>
      <c r="J278" s="16" t="s">
        <v>411</v>
      </c>
      <c r="K278" s="16" t="s">
        <v>170</v>
      </c>
      <c r="L278" s="16" t="s">
        <v>35</v>
      </c>
      <c r="M278" s="16">
        <v>-1</v>
      </c>
      <c r="N278" s="14">
        <v>91</v>
      </c>
      <c r="O278" s="14">
        <v>150</v>
      </c>
      <c r="P278" s="14">
        <v>120.5</v>
      </c>
      <c r="Q278" s="14">
        <v>94</v>
      </c>
      <c r="R278" s="17" t="str">
        <f>IF(Cleaned_DS_jobs!$Q278&lt;10,"little_age_company",IF(AND(Cleaned_DS_jobs!$Q278&gt;=10,Cleaned_DS_jobs!$Q278&lt;=20),"average_age_company","Big_age_company"))</f>
        <v>Big_age_company</v>
      </c>
    </row>
    <row r="279" spans="1:18" ht="19.95" customHeight="1" x14ac:dyDescent="0.3">
      <c r="A279" s="18" t="s">
        <v>26</v>
      </c>
      <c r="B279" s="19" t="s">
        <v>1714</v>
      </c>
      <c r="C279" s="19">
        <v>3.6</v>
      </c>
      <c r="D279" s="20" t="s">
        <v>2180</v>
      </c>
      <c r="E279" s="19" t="s">
        <v>30</v>
      </c>
      <c r="F279" s="21" t="s">
        <v>1883</v>
      </c>
      <c r="G279" s="21" t="s">
        <v>66</v>
      </c>
      <c r="H279" s="19">
        <v>1947</v>
      </c>
      <c r="I279" s="21" t="s">
        <v>32</v>
      </c>
      <c r="J279" s="21" t="s">
        <v>918</v>
      </c>
      <c r="K279" s="21" t="s">
        <v>34</v>
      </c>
      <c r="L279" s="21" t="s">
        <v>68</v>
      </c>
      <c r="M279" s="21" t="s">
        <v>919</v>
      </c>
      <c r="N279" s="19">
        <v>91</v>
      </c>
      <c r="O279" s="19">
        <v>150</v>
      </c>
      <c r="P279" s="19">
        <v>120.5</v>
      </c>
      <c r="Q279" s="19">
        <v>79</v>
      </c>
      <c r="R279" s="22" t="str">
        <f>IF(Cleaned_DS_jobs!$Q279&lt;10,"little_age_company",IF(AND(Cleaned_DS_jobs!$Q279&gt;=10,Cleaned_DS_jobs!$Q279&lt;=20),"average_age_company","Big_age_company"))</f>
        <v>Big_age_company</v>
      </c>
    </row>
    <row r="280" spans="1:18" ht="19.95" customHeight="1" x14ac:dyDescent="0.3">
      <c r="A280" s="13" t="s">
        <v>26</v>
      </c>
      <c r="B280" s="14" t="s">
        <v>1714</v>
      </c>
      <c r="C280" s="14">
        <v>4.8</v>
      </c>
      <c r="D280" s="15" t="s">
        <v>2017</v>
      </c>
      <c r="E280" s="14" t="s">
        <v>38</v>
      </c>
      <c r="F280" s="16" t="s">
        <v>1746</v>
      </c>
      <c r="G280" s="16" t="s">
        <v>107</v>
      </c>
      <c r="H280" s="14">
        <v>2012</v>
      </c>
      <c r="I280" s="16" t="s">
        <v>53</v>
      </c>
      <c r="J280" s="16" t="s">
        <v>59</v>
      </c>
      <c r="K280" s="16" t="s">
        <v>60</v>
      </c>
      <c r="L280" s="16" t="s">
        <v>24</v>
      </c>
      <c r="M280" s="16">
        <v>-1</v>
      </c>
      <c r="N280" s="14">
        <v>91</v>
      </c>
      <c r="O280" s="14">
        <v>150</v>
      </c>
      <c r="P280" s="14">
        <v>120.5</v>
      </c>
      <c r="Q280" s="14">
        <v>14</v>
      </c>
      <c r="R280" s="17" t="str">
        <f>IF(Cleaned_DS_jobs!$Q280&lt;10,"little_age_company",IF(AND(Cleaned_DS_jobs!$Q280&gt;=10,Cleaned_DS_jobs!$Q280&lt;=20),"average_age_company","Big_age_company"))</f>
        <v>average_age_company</v>
      </c>
    </row>
    <row r="281" spans="1:18" ht="19.95" customHeight="1" x14ac:dyDescent="0.3">
      <c r="A281" s="18" t="s">
        <v>26</v>
      </c>
      <c r="B281" s="19" t="s">
        <v>1714</v>
      </c>
      <c r="C281" s="19">
        <v>3.3</v>
      </c>
      <c r="D281" s="20" t="s">
        <v>2181</v>
      </c>
      <c r="E281" s="19" t="s">
        <v>106</v>
      </c>
      <c r="F281" s="21" t="s">
        <v>1756</v>
      </c>
      <c r="G281" s="21" t="s">
        <v>66</v>
      </c>
      <c r="H281" s="19">
        <v>1894</v>
      </c>
      <c r="I281" s="21" t="s">
        <v>53</v>
      </c>
      <c r="J281" s="21" t="s">
        <v>40</v>
      </c>
      <c r="K281" s="21" t="s">
        <v>34</v>
      </c>
      <c r="L281" s="21" t="s">
        <v>79</v>
      </c>
      <c r="M281" s="21" t="s">
        <v>923</v>
      </c>
      <c r="N281" s="19">
        <v>91</v>
      </c>
      <c r="O281" s="19">
        <v>150</v>
      </c>
      <c r="P281" s="19">
        <v>120.5</v>
      </c>
      <c r="Q281" s="19">
        <v>132</v>
      </c>
      <c r="R281" s="22" t="str">
        <f>IF(Cleaned_DS_jobs!$Q281&lt;10,"little_age_company",IF(AND(Cleaned_DS_jobs!$Q281&gt;=10,Cleaned_DS_jobs!$Q281&lt;=20),"average_age_company","Big_age_company"))</f>
        <v>Big_age_company</v>
      </c>
    </row>
    <row r="282" spans="1:18" ht="19.95" customHeight="1" x14ac:dyDescent="0.3">
      <c r="A282" s="13" t="s">
        <v>26</v>
      </c>
      <c r="B282" s="14" t="s">
        <v>1714</v>
      </c>
      <c r="C282" s="14">
        <v>3.7</v>
      </c>
      <c r="D282" s="15" t="s">
        <v>2182</v>
      </c>
      <c r="E282" s="14" t="s">
        <v>926</v>
      </c>
      <c r="F282" s="16" t="s">
        <v>1884</v>
      </c>
      <c r="G282" s="16" t="s">
        <v>20</v>
      </c>
      <c r="H282" s="14">
        <v>2005</v>
      </c>
      <c r="I282" s="16" t="s">
        <v>32</v>
      </c>
      <c r="J282" s="16" t="s">
        <v>614</v>
      </c>
      <c r="K282" s="16" t="s">
        <v>614</v>
      </c>
      <c r="L282" s="16" t="s">
        <v>41</v>
      </c>
      <c r="M282" s="16">
        <v>-1</v>
      </c>
      <c r="N282" s="14">
        <v>91</v>
      </c>
      <c r="O282" s="14">
        <v>150</v>
      </c>
      <c r="P282" s="14">
        <v>120.5</v>
      </c>
      <c r="Q282" s="14">
        <v>21</v>
      </c>
      <c r="R282" s="17" t="str">
        <f>IF(Cleaned_DS_jobs!$Q282&lt;10,"little_age_company",IF(AND(Cleaned_DS_jobs!$Q282&gt;=10,Cleaned_DS_jobs!$Q282&lt;=20),"average_age_company","Big_age_company"))</f>
        <v>Big_age_company</v>
      </c>
    </row>
    <row r="283" spans="1:18" ht="19.95" customHeight="1" x14ac:dyDescent="0.3">
      <c r="A283" s="18" t="s">
        <v>26</v>
      </c>
      <c r="B283" s="19" t="s">
        <v>1714</v>
      </c>
      <c r="C283" s="19">
        <v>5</v>
      </c>
      <c r="D283" s="20" t="s">
        <v>2183</v>
      </c>
      <c r="E283" s="19" t="s">
        <v>926</v>
      </c>
      <c r="F283" s="21" t="s">
        <v>1885</v>
      </c>
      <c r="G283" s="21" t="s">
        <v>52</v>
      </c>
      <c r="H283" s="19">
        <v>2018</v>
      </c>
      <c r="I283" s="21" t="s">
        <v>53</v>
      </c>
      <c r="J283" s="21" t="s">
        <v>286</v>
      </c>
      <c r="K283" s="21" t="s">
        <v>34</v>
      </c>
      <c r="L283" s="21" t="s">
        <v>164</v>
      </c>
      <c r="M283" s="21">
        <v>-1</v>
      </c>
      <c r="N283" s="19">
        <v>91</v>
      </c>
      <c r="O283" s="19">
        <v>150</v>
      </c>
      <c r="P283" s="19">
        <v>120.5</v>
      </c>
      <c r="Q283" s="19">
        <v>8</v>
      </c>
      <c r="R283" s="22" t="str">
        <f>IF(Cleaned_DS_jobs!$Q283&lt;10,"little_age_company",IF(AND(Cleaned_DS_jobs!$Q283&gt;=10,Cleaned_DS_jobs!$Q283&lt;=20),"average_age_company","Big_age_company"))</f>
        <v>little_age_company</v>
      </c>
    </row>
    <row r="284" spans="1:18" ht="19.95" customHeight="1" x14ac:dyDescent="0.3">
      <c r="A284" s="13" t="s">
        <v>26</v>
      </c>
      <c r="B284" s="14" t="s">
        <v>1714</v>
      </c>
      <c r="C284" s="14">
        <v>-1</v>
      </c>
      <c r="D284" s="15" t="s">
        <v>931</v>
      </c>
      <c r="E284" s="14" t="s">
        <v>143</v>
      </c>
      <c r="F284" s="16" t="s">
        <v>1886</v>
      </c>
      <c r="G284" s="16" t="s">
        <v>688</v>
      </c>
      <c r="H284" s="14">
        <v>-1</v>
      </c>
      <c r="I284" s="16" t="s">
        <v>53</v>
      </c>
      <c r="J284" s="16" t="s">
        <v>1972</v>
      </c>
      <c r="K284" s="16" t="s">
        <v>1972</v>
      </c>
      <c r="L284" s="16" t="s">
        <v>24</v>
      </c>
      <c r="M284" s="16">
        <v>-1</v>
      </c>
      <c r="N284" s="14">
        <v>91</v>
      </c>
      <c r="O284" s="14">
        <v>150</v>
      </c>
      <c r="P284" s="14">
        <v>120.5</v>
      </c>
      <c r="Q284" s="14">
        <v>-1</v>
      </c>
      <c r="R284" s="17" t="str">
        <f>IF(Cleaned_DS_jobs!$Q284&lt;10,"little_age_company",IF(AND(Cleaned_DS_jobs!$Q284&gt;=10,Cleaned_DS_jobs!$Q284&lt;=20),"average_age_company","Big_age_company"))</f>
        <v>little_age_company</v>
      </c>
    </row>
    <row r="285" spans="1:18" ht="19.95" customHeight="1" x14ac:dyDescent="0.3">
      <c r="A285" s="18" t="s">
        <v>213</v>
      </c>
      <c r="B285" s="19" t="s">
        <v>1715</v>
      </c>
      <c r="C285" s="19">
        <v>3.4</v>
      </c>
      <c r="D285" s="20" t="s">
        <v>2010</v>
      </c>
      <c r="E285" s="19" t="s">
        <v>216</v>
      </c>
      <c r="F285" s="21" t="s">
        <v>1774</v>
      </c>
      <c r="G285" s="21" t="s">
        <v>46</v>
      </c>
      <c r="H285" s="19">
        <v>1966</v>
      </c>
      <c r="I285" s="21" t="s">
        <v>53</v>
      </c>
      <c r="J285" s="21" t="s">
        <v>123</v>
      </c>
      <c r="K285" s="21" t="s">
        <v>60</v>
      </c>
      <c r="L285" s="21" t="s">
        <v>41</v>
      </c>
      <c r="M285" s="21" t="s">
        <v>217</v>
      </c>
      <c r="N285" s="19">
        <v>141</v>
      </c>
      <c r="O285" s="19">
        <v>225</v>
      </c>
      <c r="P285" s="19">
        <v>183</v>
      </c>
      <c r="Q285" s="19">
        <v>60</v>
      </c>
      <c r="R285" s="22" t="str">
        <f>IF(Cleaned_DS_jobs!$Q285&lt;10,"little_age_company",IF(AND(Cleaned_DS_jobs!$Q285&gt;=10,Cleaned_DS_jobs!$Q285&lt;=20),"average_age_company","Big_age_company"))</f>
        <v>Big_age_company</v>
      </c>
    </row>
    <row r="286" spans="1:18" ht="19.95" customHeight="1" x14ac:dyDescent="0.3">
      <c r="A286" s="13" t="s">
        <v>26</v>
      </c>
      <c r="B286" s="14" t="s">
        <v>1715</v>
      </c>
      <c r="C286" s="14">
        <v>5</v>
      </c>
      <c r="D286" s="15" t="s">
        <v>2003</v>
      </c>
      <c r="E286" s="14" t="s">
        <v>38</v>
      </c>
      <c r="F286" s="16" t="s">
        <v>1746</v>
      </c>
      <c r="G286" s="16" t="s">
        <v>117</v>
      </c>
      <c r="H286" s="14">
        <v>2019</v>
      </c>
      <c r="I286" s="16" t="s">
        <v>53</v>
      </c>
      <c r="J286" s="16" t="s">
        <v>92</v>
      </c>
      <c r="K286" s="16" t="s">
        <v>60</v>
      </c>
      <c r="L286" s="16" t="s">
        <v>24</v>
      </c>
      <c r="M286" s="16">
        <v>-1</v>
      </c>
      <c r="N286" s="14">
        <v>141</v>
      </c>
      <c r="O286" s="14">
        <v>225</v>
      </c>
      <c r="P286" s="14">
        <v>183</v>
      </c>
      <c r="Q286" s="14">
        <v>7</v>
      </c>
      <c r="R286" s="17" t="str">
        <f>IF(Cleaned_DS_jobs!$Q286&lt;10,"little_age_company",IF(AND(Cleaned_DS_jobs!$Q286&gt;=10,Cleaned_DS_jobs!$Q286&lt;=20),"average_age_company","Big_age_company"))</f>
        <v>little_age_company</v>
      </c>
    </row>
    <row r="287" spans="1:18" ht="19.95" customHeight="1" x14ac:dyDescent="0.3">
      <c r="A287" s="18" t="s">
        <v>26</v>
      </c>
      <c r="B287" s="19" t="s">
        <v>1715</v>
      </c>
      <c r="C287" s="19">
        <v>-1</v>
      </c>
      <c r="D287" s="20" t="s">
        <v>931</v>
      </c>
      <c r="E287" s="19" t="s">
        <v>143</v>
      </c>
      <c r="F287" s="21" t="s">
        <v>1886</v>
      </c>
      <c r="G287" s="21" t="s">
        <v>688</v>
      </c>
      <c r="H287" s="19">
        <v>-1</v>
      </c>
      <c r="I287" s="21" t="s">
        <v>53</v>
      </c>
      <c r="J287" s="21" t="s">
        <v>1972</v>
      </c>
      <c r="K287" s="21" t="s">
        <v>1972</v>
      </c>
      <c r="L287" s="21" t="s">
        <v>24</v>
      </c>
      <c r="M287" s="21">
        <v>-1</v>
      </c>
      <c r="N287" s="19">
        <v>141</v>
      </c>
      <c r="O287" s="19">
        <v>225</v>
      </c>
      <c r="P287" s="19">
        <v>183</v>
      </c>
      <c r="Q287" s="19">
        <v>-1</v>
      </c>
      <c r="R287" s="22" t="str">
        <f>IF(Cleaned_DS_jobs!$Q287&lt;10,"little_age_company",IF(AND(Cleaned_DS_jobs!$Q287&gt;=10,Cleaned_DS_jobs!$Q287&lt;=20),"average_age_company","Big_age_company"))</f>
        <v>little_age_company</v>
      </c>
    </row>
    <row r="288" spans="1:18" ht="19.95" customHeight="1" x14ac:dyDescent="0.3">
      <c r="A288" s="13" t="s">
        <v>700</v>
      </c>
      <c r="B288" s="14" t="s">
        <v>1715</v>
      </c>
      <c r="C288" s="14">
        <v>4</v>
      </c>
      <c r="D288" s="15" t="s">
        <v>2047</v>
      </c>
      <c r="E288" s="14" t="s">
        <v>19</v>
      </c>
      <c r="F288" s="16" t="s">
        <v>1799</v>
      </c>
      <c r="G288" s="16" t="s">
        <v>66</v>
      </c>
      <c r="H288" s="14">
        <v>1913</v>
      </c>
      <c r="I288" s="16" t="s">
        <v>32</v>
      </c>
      <c r="J288" s="16" t="s">
        <v>67</v>
      </c>
      <c r="K288" s="16" t="s">
        <v>67</v>
      </c>
      <c r="L288" s="16" t="s">
        <v>68</v>
      </c>
      <c r="M288" s="16" t="s">
        <v>368</v>
      </c>
      <c r="N288" s="14">
        <v>141</v>
      </c>
      <c r="O288" s="14">
        <v>225</v>
      </c>
      <c r="P288" s="14">
        <v>183</v>
      </c>
      <c r="Q288" s="14">
        <v>113</v>
      </c>
      <c r="R288" s="17" t="str">
        <f>IF(Cleaned_DS_jobs!$Q288&lt;10,"little_age_company",IF(AND(Cleaned_DS_jobs!$Q288&gt;=10,Cleaned_DS_jobs!$Q288&lt;=20),"average_age_company","Big_age_company"))</f>
        <v>Big_age_company</v>
      </c>
    </row>
    <row r="289" spans="1:18" ht="19.95" customHeight="1" x14ac:dyDescent="0.3">
      <c r="A289" s="18" t="s">
        <v>26</v>
      </c>
      <c r="B289" s="19" t="s">
        <v>1715</v>
      </c>
      <c r="C289" s="19">
        <v>4.2</v>
      </c>
      <c r="D289" s="20" t="s">
        <v>2184</v>
      </c>
      <c r="E289" s="19" t="s">
        <v>936</v>
      </c>
      <c r="F289" s="21" t="s">
        <v>1887</v>
      </c>
      <c r="G289" s="21" t="s">
        <v>66</v>
      </c>
      <c r="H289" s="19">
        <v>1917</v>
      </c>
      <c r="I289" s="21" t="s">
        <v>32</v>
      </c>
      <c r="J289" s="21" t="s">
        <v>793</v>
      </c>
      <c r="K289" s="21" t="s">
        <v>48</v>
      </c>
      <c r="L289" s="21" t="s">
        <v>132</v>
      </c>
      <c r="M289" s="21" t="s">
        <v>937</v>
      </c>
      <c r="N289" s="19">
        <v>141</v>
      </c>
      <c r="O289" s="19">
        <v>225</v>
      </c>
      <c r="P289" s="19">
        <v>183</v>
      </c>
      <c r="Q289" s="19">
        <v>109</v>
      </c>
      <c r="R289" s="22" t="str">
        <f>IF(Cleaned_DS_jobs!$Q289&lt;10,"little_age_company",IF(AND(Cleaned_DS_jobs!$Q289&gt;=10,Cleaned_DS_jobs!$Q289&lt;=20),"average_age_company","Big_age_company"))</f>
        <v>Big_age_company</v>
      </c>
    </row>
    <row r="290" spans="1:18" ht="19.95" customHeight="1" x14ac:dyDescent="0.3">
      <c r="A290" s="13" t="s">
        <v>26</v>
      </c>
      <c r="B290" s="14" t="s">
        <v>1715</v>
      </c>
      <c r="C290" s="14">
        <v>4.3</v>
      </c>
      <c r="D290" s="15" t="s">
        <v>2127</v>
      </c>
      <c r="E290" s="14" t="s">
        <v>675</v>
      </c>
      <c r="F290" s="16" t="s">
        <v>1804</v>
      </c>
      <c r="G290" s="16" t="s">
        <v>52</v>
      </c>
      <c r="H290" s="14">
        <v>-1</v>
      </c>
      <c r="I290" s="16" t="s">
        <v>53</v>
      </c>
      <c r="J290" s="16" t="s">
        <v>1972</v>
      </c>
      <c r="K290" s="16" t="s">
        <v>1972</v>
      </c>
      <c r="L290" s="16" t="s">
        <v>24</v>
      </c>
      <c r="M290" s="16">
        <v>-1</v>
      </c>
      <c r="N290" s="14">
        <v>141</v>
      </c>
      <c r="O290" s="14">
        <v>225</v>
      </c>
      <c r="P290" s="14">
        <v>183</v>
      </c>
      <c r="Q290" s="14">
        <v>-1</v>
      </c>
      <c r="R290" s="17" t="str">
        <f>IF(Cleaned_DS_jobs!$Q290&lt;10,"little_age_company",IF(AND(Cleaned_DS_jobs!$Q290&gt;=10,Cleaned_DS_jobs!$Q290&lt;=20),"average_age_company","Big_age_company"))</f>
        <v>little_age_company</v>
      </c>
    </row>
    <row r="291" spans="1:18" ht="19.95" customHeight="1" x14ac:dyDescent="0.3">
      <c r="A291" s="18" t="s">
        <v>26</v>
      </c>
      <c r="B291" s="19" t="s">
        <v>1715</v>
      </c>
      <c r="C291" s="19">
        <v>3.4</v>
      </c>
      <c r="D291" s="20" t="s">
        <v>2185</v>
      </c>
      <c r="E291" s="19" t="s">
        <v>152</v>
      </c>
      <c r="F291" s="21" t="s">
        <v>1882</v>
      </c>
      <c r="G291" s="21" t="s">
        <v>52</v>
      </c>
      <c r="H291" s="19">
        <v>1960</v>
      </c>
      <c r="I291" s="21" t="s">
        <v>53</v>
      </c>
      <c r="J291" s="21" t="s">
        <v>918</v>
      </c>
      <c r="K291" s="21" t="s">
        <v>34</v>
      </c>
      <c r="L291" s="21" t="s">
        <v>160</v>
      </c>
      <c r="M291" s="21">
        <v>-1</v>
      </c>
      <c r="N291" s="19">
        <v>141</v>
      </c>
      <c r="O291" s="19">
        <v>225</v>
      </c>
      <c r="P291" s="19">
        <v>183</v>
      </c>
      <c r="Q291" s="19">
        <v>66</v>
      </c>
      <c r="R291" s="22" t="str">
        <f>IF(Cleaned_DS_jobs!$Q291&lt;10,"little_age_company",IF(AND(Cleaned_DS_jobs!$Q291&gt;=10,Cleaned_DS_jobs!$Q291&lt;=20),"average_age_company","Big_age_company"))</f>
        <v>Big_age_company</v>
      </c>
    </row>
    <row r="292" spans="1:18" ht="19.95" customHeight="1" x14ac:dyDescent="0.3">
      <c r="A292" s="13" t="s">
        <v>26</v>
      </c>
      <c r="B292" s="14" t="s">
        <v>1715</v>
      </c>
      <c r="C292" s="14">
        <v>-1</v>
      </c>
      <c r="D292" s="15" t="s">
        <v>1734</v>
      </c>
      <c r="E292" s="14" t="s">
        <v>143</v>
      </c>
      <c r="F292" s="16" t="s">
        <v>1888</v>
      </c>
      <c r="G292" s="16" t="s">
        <v>52</v>
      </c>
      <c r="H292" s="14">
        <v>-1</v>
      </c>
      <c r="I292" s="16" t="s">
        <v>53</v>
      </c>
      <c r="J292" s="16" t="s">
        <v>1972</v>
      </c>
      <c r="K292" s="16" t="s">
        <v>1972</v>
      </c>
      <c r="L292" s="16" t="s">
        <v>24</v>
      </c>
      <c r="M292" s="16">
        <v>-1</v>
      </c>
      <c r="N292" s="14">
        <v>141</v>
      </c>
      <c r="O292" s="14">
        <v>225</v>
      </c>
      <c r="P292" s="14">
        <v>183</v>
      </c>
      <c r="Q292" s="14">
        <v>-1</v>
      </c>
      <c r="R292" s="17" t="str">
        <f>IF(Cleaned_DS_jobs!$Q292&lt;10,"little_age_company",IF(AND(Cleaned_DS_jobs!$Q292&gt;=10,Cleaned_DS_jobs!$Q292&lt;=20),"average_age_company","Big_age_company"))</f>
        <v>little_age_company</v>
      </c>
    </row>
    <row r="293" spans="1:18" ht="19.95" customHeight="1" x14ac:dyDescent="0.3">
      <c r="A293" s="18" t="s">
        <v>26</v>
      </c>
      <c r="B293" s="19" t="s">
        <v>1715</v>
      </c>
      <c r="C293" s="19">
        <v>4.4000000000000004</v>
      </c>
      <c r="D293" s="20" t="s">
        <v>2186</v>
      </c>
      <c r="E293" s="19" t="s">
        <v>917</v>
      </c>
      <c r="F293" s="21" t="s">
        <v>1886</v>
      </c>
      <c r="G293" s="21" t="s">
        <v>107</v>
      </c>
      <c r="H293" s="19">
        <v>2006</v>
      </c>
      <c r="I293" s="21" t="s">
        <v>53</v>
      </c>
      <c r="J293" s="21" t="s">
        <v>286</v>
      </c>
      <c r="K293" s="21" t="s">
        <v>34</v>
      </c>
      <c r="L293" s="21" t="s">
        <v>403</v>
      </c>
      <c r="M293" s="21">
        <v>-1</v>
      </c>
      <c r="N293" s="19">
        <v>141</v>
      </c>
      <c r="O293" s="19">
        <v>225</v>
      </c>
      <c r="P293" s="19">
        <v>183</v>
      </c>
      <c r="Q293" s="19">
        <v>20</v>
      </c>
      <c r="R293" s="22" t="str">
        <f>IF(Cleaned_DS_jobs!$Q293&lt;10,"little_age_company",IF(AND(Cleaned_DS_jobs!$Q293&gt;=10,Cleaned_DS_jobs!$Q293&lt;=20),"average_age_company","Big_age_company"))</f>
        <v>average_age_company</v>
      </c>
    </row>
    <row r="294" spans="1:18" ht="19.95" customHeight="1" x14ac:dyDescent="0.3">
      <c r="A294" s="13" t="s">
        <v>945</v>
      </c>
      <c r="B294" s="14" t="s">
        <v>1715</v>
      </c>
      <c r="C294" s="14">
        <v>3.5</v>
      </c>
      <c r="D294" s="15" t="s">
        <v>2102</v>
      </c>
      <c r="E294" s="14" t="s">
        <v>652</v>
      </c>
      <c r="F294" s="16" t="s">
        <v>1806</v>
      </c>
      <c r="G294" s="16" t="s">
        <v>66</v>
      </c>
      <c r="H294" s="14">
        <v>1969</v>
      </c>
      <c r="I294" s="16" t="s">
        <v>32</v>
      </c>
      <c r="J294" s="16" t="s">
        <v>175</v>
      </c>
      <c r="K294" s="16" t="s">
        <v>175</v>
      </c>
      <c r="L294" s="16" t="s">
        <v>68</v>
      </c>
      <c r="M294" s="16">
        <v>-1</v>
      </c>
      <c r="N294" s="14">
        <v>141</v>
      </c>
      <c r="O294" s="14">
        <v>225</v>
      </c>
      <c r="P294" s="14">
        <v>183</v>
      </c>
      <c r="Q294" s="14">
        <v>57</v>
      </c>
      <c r="R294" s="17" t="str">
        <f>IF(Cleaned_DS_jobs!$Q294&lt;10,"little_age_company",IF(AND(Cleaned_DS_jobs!$Q294&gt;=10,Cleaned_DS_jobs!$Q294&lt;=20),"average_age_company","Big_age_company"))</f>
        <v>Big_age_company</v>
      </c>
    </row>
    <row r="295" spans="1:18" ht="19.95" customHeight="1" x14ac:dyDescent="0.3">
      <c r="A295" s="18" t="s">
        <v>26</v>
      </c>
      <c r="B295" s="19" t="s">
        <v>1715</v>
      </c>
      <c r="C295" s="19">
        <v>3.7</v>
      </c>
      <c r="D295" s="20" t="s">
        <v>2187</v>
      </c>
      <c r="E295" s="19" t="s">
        <v>143</v>
      </c>
      <c r="F295" s="21" t="s">
        <v>1744</v>
      </c>
      <c r="G295" s="21" t="s">
        <v>20</v>
      </c>
      <c r="H295" s="19">
        <v>1993</v>
      </c>
      <c r="I295" s="21" t="s">
        <v>32</v>
      </c>
      <c r="J295" s="21" t="s">
        <v>468</v>
      </c>
      <c r="K295" s="21" t="s">
        <v>469</v>
      </c>
      <c r="L295" s="21" t="s">
        <v>35</v>
      </c>
      <c r="M295" s="21" t="s">
        <v>949</v>
      </c>
      <c r="N295" s="19">
        <v>141</v>
      </c>
      <c r="O295" s="19">
        <v>225</v>
      </c>
      <c r="P295" s="19">
        <v>183</v>
      </c>
      <c r="Q295" s="19">
        <v>33</v>
      </c>
      <c r="R295" s="22" t="str">
        <f>IF(Cleaned_DS_jobs!$Q295&lt;10,"little_age_company",IF(AND(Cleaned_DS_jobs!$Q295&gt;=10,Cleaned_DS_jobs!$Q295&lt;=20),"average_age_company","Big_age_company"))</f>
        <v>Big_age_company</v>
      </c>
    </row>
    <row r="296" spans="1:18" ht="19.95" customHeight="1" x14ac:dyDescent="0.3">
      <c r="A296" s="13" t="s">
        <v>26</v>
      </c>
      <c r="B296" s="14" t="s">
        <v>1715</v>
      </c>
      <c r="C296" s="14">
        <v>3.7</v>
      </c>
      <c r="D296" s="15" t="s">
        <v>2188</v>
      </c>
      <c r="E296" s="14" t="s">
        <v>952</v>
      </c>
      <c r="F296" s="16" t="s">
        <v>1889</v>
      </c>
      <c r="G296" s="16" t="s">
        <v>46</v>
      </c>
      <c r="H296" s="14">
        <v>-1</v>
      </c>
      <c r="I296" s="16" t="s">
        <v>53</v>
      </c>
      <c r="J296" s="16" t="s">
        <v>953</v>
      </c>
      <c r="K296" s="16" t="s">
        <v>73</v>
      </c>
      <c r="L296" s="16" t="s">
        <v>41</v>
      </c>
      <c r="M296" s="16">
        <v>-1</v>
      </c>
      <c r="N296" s="14">
        <v>141</v>
      </c>
      <c r="O296" s="14">
        <v>225</v>
      </c>
      <c r="P296" s="14">
        <v>183</v>
      </c>
      <c r="Q296" s="14">
        <v>-1</v>
      </c>
      <c r="R296" s="17" t="str">
        <f>IF(Cleaned_DS_jobs!$Q296&lt;10,"little_age_company",IF(AND(Cleaned_DS_jobs!$Q296&gt;=10,Cleaned_DS_jobs!$Q296&lt;=20),"average_age_company","Big_age_company"))</f>
        <v>little_age_company</v>
      </c>
    </row>
    <row r="297" spans="1:18" ht="19.95" customHeight="1" x14ac:dyDescent="0.3">
      <c r="A297" s="18" t="s">
        <v>26</v>
      </c>
      <c r="B297" s="19" t="s">
        <v>1715</v>
      </c>
      <c r="C297" s="19">
        <v>4.0999999999999996</v>
      </c>
      <c r="D297" s="20" t="s">
        <v>2189</v>
      </c>
      <c r="E297" s="19" t="s">
        <v>956</v>
      </c>
      <c r="F297" s="21" t="s">
        <v>1890</v>
      </c>
      <c r="G297" s="21" t="s">
        <v>66</v>
      </c>
      <c r="H297" s="19">
        <v>-1</v>
      </c>
      <c r="I297" s="21" t="s">
        <v>958</v>
      </c>
      <c r="J297" s="21" t="s">
        <v>139</v>
      </c>
      <c r="K297" s="21" t="s">
        <v>140</v>
      </c>
      <c r="L297" s="21" t="s">
        <v>24</v>
      </c>
      <c r="M297" s="21">
        <v>-1</v>
      </c>
      <c r="N297" s="19">
        <v>141</v>
      </c>
      <c r="O297" s="19">
        <v>225</v>
      </c>
      <c r="P297" s="19">
        <v>183</v>
      </c>
      <c r="Q297" s="19">
        <v>-1</v>
      </c>
      <c r="R297" s="22" t="str">
        <f>IF(Cleaned_DS_jobs!$Q297&lt;10,"little_age_company",IF(AND(Cleaned_DS_jobs!$Q297&gt;=10,Cleaned_DS_jobs!$Q297&lt;=20),"average_age_company","Big_age_company"))</f>
        <v>little_age_company</v>
      </c>
    </row>
    <row r="298" spans="1:18" ht="19.95" customHeight="1" x14ac:dyDescent="0.3">
      <c r="A298" s="13" t="s">
        <v>26</v>
      </c>
      <c r="B298" s="14" t="s">
        <v>1715</v>
      </c>
      <c r="C298" s="14">
        <v>3.4</v>
      </c>
      <c r="D298" s="15" t="s">
        <v>2190</v>
      </c>
      <c r="E298" s="14" t="s">
        <v>19</v>
      </c>
      <c r="F298" s="16" t="s">
        <v>1744</v>
      </c>
      <c r="G298" s="16" t="s">
        <v>117</v>
      </c>
      <c r="H298" s="14">
        <v>2017</v>
      </c>
      <c r="I298" s="16" t="s">
        <v>53</v>
      </c>
      <c r="J298" s="16" t="s">
        <v>961</v>
      </c>
      <c r="K298" s="16" t="s">
        <v>73</v>
      </c>
      <c r="L298" s="16" t="s">
        <v>24</v>
      </c>
      <c r="M298" s="16">
        <v>-1</v>
      </c>
      <c r="N298" s="14">
        <v>141</v>
      </c>
      <c r="O298" s="14">
        <v>225</v>
      </c>
      <c r="P298" s="14">
        <v>183</v>
      </c>
      <c r="Q298" s="14">
        <v>9</v>
      </c>
      <c r="R298" s="17" t="str">
        <f>IF(Cleaned_DS_jobs!$Q298&lt;10,"little_age_company",IF(AND(Cleaned_DS_jobs!$Q298&gt;=10,Cleaned_DS_jobs!$Q298&lt;=20),"average_age_company","Big_age_company"))</f>
        <v>little_age_company</v>
      </c>
    </row>
    <row r="299" spans="1:18" ht="19.95" customHeight="1" x14ac:dyDescent="0.3">
      <c r="A299" s="18" t="s">
        <v>218</v>
      </c>
      <c r="B299" s="19" t="s">
        <v>1715</v>
      </c>
      <c r="C299" s="19">
        <v>4.5</v>
      </c>
      <c r="D299" s="20" t="s">
        <v>2191</v>
      </c>
      <c r="E299" s="19" t="s">
        <v>415</v>
      </c>
      <c r="F299" s="21" t="s">
        <v>1759</v>
      </c>
      <c r="G299" s="21" t="s">
        <v>117</v>
      </c>
      <c r="H299" s="19">
        <v>2017</v>
      </c>
      <c r="I299" s="21" t="s">
        <v>53</v>
      </c>
      <c r="J299" s="21" t="s">
        <v>92</v>
      </c>
      <c r="K299" s="21" t="s">
        <v>60</v>
      </c>
      <c r="L299" s="21" t="s">
        <v>24</v>
      </c>
      <c r="M299" s="21">
        <v>-1</v>
      </c>
      <c r="N299" s="19">
        <v>141</v>
      </c>
      <c r="O299" s="19">
        <v>225</v>
      </c>
      <c r="P299" s="19">
        <v>183</v>
      </c>
      <c r="Q299" s="19">
        <v>9</v>
      </c>
      <c r="R299" s="22" t="str">
        <f>IF(Cleaned_DS_jobs!$Q299&lt;10,"little_age_company",IF(AND(Cleaned_DS_jobs!$Q299&gt;=10,Cleaned_DS_jobs!$Q299&lt;=20),"average_age_company","Big_age_company"))</f>
        <v>little_age_company</v>
      </c>
    </row>
    <row r="300" spans="1:18" ht="19.95" customHeight="1" x14ac:dyDescent="0.3">
      <c r="A300" s="13" t="s">
        <v>26</v>
      </c>
      <c r="B300" s="14" t="s">
        <v>1715</v>
      </c>
      <c r="C300" s="14">
        <v>3.5</v>
      </c>
      <c r="D300" s="15" t="s">
        <v>2192</v>
      </c>
      <c r="E300" s="14" t="s">
        <v>19</v>
      </c>
      <c r="F300" s="16" t="s">
        <v>1891</v>
      </c>
      <c r="G300" s="16" t="s">
        <v>20</v>
      </c>
      <c r="H300" s="14">
        <v>1990</v>
      </c>
      <c r="I300" s="16" t="s">
        <v>53</v>
      </c>
      <c r="J300" s="16" t="s">
        <v>967</v>
      </c>
      <c r="K300" s="16" t="s">
        <v>968</v>
      </c>
      <c r="L300" s="16" t="s">
        <v>24</v>
      </c>
      <c r="M300" s="16">
        <v>-1</v>
      </c>
      <c r="N300" s="14">
        <v>141</v>
      </c>
      <c r="O300" s="14">
        <v>225</v>
      </c>
      <c r="P300" s="14">
        <v>183</v>
      </c>
      <c r="Q300" s="14">
        <v>36</v>
      </c>
      <c r="R300" s="17" t="str">
        <f>IF(Cleaned_DS_jobs!$Q300&lt;10,"little_age_company",IF(AND(Cleaned_DS_jobs!$Q300&gt;=10,Cleaned_DS_jobs!$Q300&lt;=20),"average_age_company","Big_age_company"))</f>
        <v>Big_age_company</v>
      </c>
    </row>
    <row r="301" spans="1:18" ht="19.95" customHeight="1" x14ac:dyDescent="0.3">
      <c r="A301" s="18" t="s">
        <v>26</v>
      </c>
      <c r="B301" s="19" t="s">
        <v>1715</v>
      </c>
      <c r="C301" s="19">
        <v>3.6</v>
      </c>
      <c r="D301" s="20" t="s">
        <v>2193</v>
      </c>
      <c r="E301" s="19" t="s">
        <v>971</v>
      </c>
      <c r="F301" s="21" t="s">
        <v>1892</v>
      </c>
      <c r="G301" s="21" t="s">
        <v>66</v>
      </c>
      <c r="H301" s="19">
        <v>2007</v>
      </c>
      <c r="I301" s="21" t="s">
        <v>32</v>
      </c>
      <c r="J301" s="21" t="s">
        <v>47</v>
      </c>
      <c r="K301" s="21" t="s">
        <v>48</v>
      </c>
      <c r="L301" s="21" t="s">
        <v>68</v>
      </c>
      <c r="M301" s="21">
        <v>-1</v>
      </c>
      <c r="N301" s="19">
        <v>141</v>
      </c>
      <c r="O301" s="19">
        <v>225</v>
      </c>
      <c r="P301" s="19">
        <v>183</v>
      </c>
      <c r="Q301" s="19">
        <v>19</v>
      </c>
      <c r="R301" s="22" t="str">
        <f>IF(Cleaned_DS_jobs!$Q301&lt;10,"little_age_company",IF(AND(Cleaned_DS_jobs!$Q301&gt;=10,Cleaned_DS_jobs!$Q301&lt;=20),"average_age_company","Big_age_company"))</f>
        <v>average_age_company</v>
      </c>
    </row>
    <row r="302" spans="1:18" ht="19.95" customHeight="1" x14ac:dyDescent="0.3">
      <c r="A302" s="13" t="s">
        <v>26</v>
      </c>
      <c r="B302" s="14" t="s">
        <v>1715</v>
      </c>
      <c r="C302" s="14">
        <v>3.2</v>
      </c>
      <c r="D302" s="15" t="s">
        <v>2194</v>
      </c>
      <c r="E302" s="14" t="s">
        <v>975</v>
      </c>
      <c r="F302" s="16" t="s">
        <v>1893</v>
      </c>
      <c r="G302" s="16" t="s">
        <v>66</v>
      </c>
      <c r="H302" s="14">
        <v>1788</v>
      </c>
      <c r="I302" s="16" t="s">
        <v>98</v>
      </c>
      <c r="J302" s="16" t="s">
        <v>976</v>
      </c>
      <c r="K302" s="16" t="s">
        <v>98</v>
      </c>
      <c r="L302" s="16" t="s">
        <v>68</v>
      </c>
      <c r="M302" s="16">
        <v>-1</v>
      </c>
      <c r="N302" s="14">
        <v>141</v>
      </c>
      <c r="O302" s="14">
        <v>225</v>
      </c>
      <c r="P302" s="14">
        <v>183</v>
      </c>
      <c r="Q302" s="14">
        <v>238</v>
      </c>
      <c r="R302" s="17" t="str">
        <f>IF(Cleaned_DS_jobs!$Q302&lt;10,"little_age_company",IF(AND(Cleaned_DS_jobs!$Q302&gt;=10,Cleaned_DS_jobs!$Q302&lt;=20),"average_age_company","Big_age_company"))</f>
        <v>Big_age_company</v>
      </c>
    </row>
    <row r="303" spans="1:18" ht="19.95" customHeight="1" x14ac:dyDescent="0.3">
      <c r="A303" s="18" t="s">
        <v>26</v>
      </c>
      <c r="B303" s="19" t="s">
        <v>1715</v>
      </c>
      <c r="C303" s="19">
        <v>3.7</v>
      </c>
      <c r="D303" s="20" t="s">
        <v>2195</v>
      </c>
      <c r="E303" s="19" t="s">
        <v>19</v>
      </c>
      <c r="F303" s="21" t="s">
        <v>1894</v>
      </c>
      <c r="G303" s="21" t="s">
        <v>46</v>
      </c>
      <c r="H303" s="19">
        <v>2000</v>
      </c>
      <c r="I303" s="21" t="s">
        <v>53</v>
      </c>
      <c r="J303" s="21" t="s">
        <v>59</v>
      </c>
      <c r="K303" s="21" t="s">
        <v>60</v>
      </c>
      <c r="L303" s="21" t="s">
        <v>164</v>
      </c>
      <c r="M303" s="21">
        <v>-1</v>
      </c>
      <c r="N303" s="19">
        <v>141</v>
      </c>
      <c r="O303" s="19">
        <v>225</v>
      </c>
      <c r="P303" s="19">
        <v>183</v>
      </c>
      <c r="Q303" s="19">
        <v>26</v>
      </c>
      <c r="R303" s="22" t="str">
        <f>IF(Cleaned_DS_jobs!$Q303&lt;10,"little_age_company",IF(AND(Cleaned_DS_jobs!$Q303&gt;=10,Cleaned_DS_jobs!$Q303&lt;=20),"average_age_company","Big_age_company"))</f>
        <v>Big_age_company</v>
      </c>
    </row>
    <row r="304" spans="1:18" ht="19.95" customHeight="1" x14ac:dyDescent="0.3">
      <c r="A304" s="13" t="s">
        <v>26</v>
      </c>
      <c r="B304" s="14" t="s">
        <v>1715</v>
      </c>
      <c r="C304" s="14">
        <v>4</v>
      </c>
      <c r="D304" s="15" t="s">
        <v>2196</v>
      </c>
      <c r="E304" s="14" t="s">
        <v>982</v>
      </c>
      <c r="F304" s="16" t="s">
        <v>1895</v>
      </c>
      <c r="G304" s="16" t="s">
        <v>46</v>
      </c>
      <c r="H304" s="14">
        <v>1992</v>
      </c>
      <c r="I304" s="16" t="s">
        <v>53</v>
      </c>
      <c r="J304" s="16" t="s">
        <v>961</v>
      </c>
      <c r="K304" s="16" t="s">
        <v>73</v>
      </c>
      <c r="L304" s="16" t="s">
        <v>41</v>
      </c>
      <c r="M304" s="16">
        <v>-1</v>
      </c>
      <c r="N304" s="14">
        <v>141</v>
      </c>
      <c r="O304" s="14">
        <v>225</v>
      </c>
      <c r="P304" s="14">
        <v>183</v>
      </c>
      <c r="Q304" s="14">
        <v>34</v>
      </c>
      <c r="R304" s="17" t="str">
        <f>IF(Cleaned_DS_jobs!$Q304&lt;10,"little_age_company",IF(AND(Cleaned_DS_jobs!$Q304&gt;=10,Cleaned_DS_jobs!$Q304&lt;=20),"average_age_company","Big_age_company"))</f>
        <v>Big_age_company</v>
      </c>
    </row>
    <row r="305" spans="1:18" ht="19.95" customHeight="1" x14ac:dyDescent="0.3">
      <c r="A305" s="18" t="s">
        <v>26</v>
      </c>
      <c r="B305" s="19" t="s">
        <v>1716</v>
      </c>
      <c r="C305" s="19">
        <v>3.2</v>
      </c>
      <c r="D305" s="20" t="s">
        <v>1993</v>
      </c>
      <c r="E305" s="19" t="s">
        <v>83</v>
      </c>
      <c r="F305" s="21" t="s">
        <v>1763</v>
      </c>
      <c r="G305" s="21" t="s">
        <v>52</v>
      </c>
      <c r="H305" s="19">
        <v>2015</v>
      </c>
      <c r="I305" s="21" t="s">
        <v>53</v>
      </c>
      <c r="J305" s="21" t="s">
        <v>59</v>
      </c>
      <c r="K305" s="21" t="s">
        <v>60</v>
      </c>
      <c r="L305" s="21" t="s">
        <v>24</v>
      </c>
      <c r="M305" s="21">
        <v>-1</v>
      </c>
      <c r="N305" s="19">
        <v>145</v>
      </c>
      <c r="O305" s="19">
        <v>225</v>
      </c>
      <c r="P305" s="19">
        <v>185</v>
      </c>
      <c r="Q305" s="19">
        <v>11</v>
      </c>
      <c r="R305" s="22" t="str">
        <f>IF(Cleaned_DS_jobs!$Q305&lt;10,"little_age_company",IF(AND(Cleaned_DS_jobs!$Q305&gt;=10,Cleaned_DS_jobs!$Q305&lt;=20),"average_age_company","Big_age_company"))</f>
        <v>average_age_company</v>
      </c>
    </row>
    <row r="306" spans="1:18" ht="19.95" customHeight="1" x14ac:dyDescent="0.3">
      <c r="A306" s="13" t="s">
        <v>26</v>
      </c>
      <c r="B306" s="14" t="s">
        <v>1716</v>
      </c>
      <c r="C306" s="14">
        <v>4.5</v>
      </c>
      <c r="D306" s="15" t="s">
        <v>2001</v>
      </c>
      <c r="E306" s="14" t="s">
        <v>178</v>
      </c>
      <c r="F306" s="16" t="s">
        <v>1768</v>
      </c>
      <c r="G306" s="16" t="s">
        <v>52</v>
      </c>
      <c r="H306" s="14">
        <v>2005</v>
      </c>
      <c r="I306" s="16" t="s">
        <v>53</v>
      </c>
      <c r="J306" s="16" t="s">
        <v>118</v>
      </c>
      <c r="K306" s="16" t="s">
        <v>98</v>
      </c>
      <c r="L306" s="16" t="s">
        <v>164</v>
      </c>
      <c r="M306" s="16">
        <v>-1</v>
      </c>
      <c r="N306" s="14">
        <v>145</v>
      </c>
      <c r="O306" s="14">
        <v>225</v>
      </c>
      <c r="P306" s="14">
        <v>185</v>
      </c>
      <c r="Q306" s="14">
        <v>21</v>
      </c>
      <c r="R306" s="17" t="str">
        <f>IF(Cleaned_DS_jobs!$Q306&lt;10,"little_age_company",IF(AND(Cleaned_DS_jobs!$Q306&gt;=10,Cleaned_DS_jobs!$Q306&lt;=20),"average_age_company","Big_age_company"))</f>
        <v>Big_age_company</v>
      </c>
    </row>
    <row r="307" spans="1:18" ht="19.95" customHeight="1" x14ac:dyDescent="0.3">
      <c r="A307" s="18" t="s">
        <v>985</v>
      </c>
      <c r="B307" s="19" t="s">
        <v>1716</v>
      </c>
      <c r="C307" s="19">
        <v>3.4</v>
      </c>
      <c r="D307" s="20" t="s">
        <v>2197</v>
      </c>
      <c r="E307" s="19" t="s">
        <v>122</v>
      </c>
      <c r="F307" s="21" t="s">
        <v>1763</v>
      </c>
      <c r="G307" s="21" t="s">
        <v>52</v>
      </c>
      <c r="H307" s="19">
        <v>2013</v>
      </c>
      <c r="I307" s="21" t="s">
        <v>53</v>
      </c>
      <c r="J307" s="21" t="s">
        <v>84</v>
      </c>
      <c r="K307" s="21" t="s">
        <v>60</v>
      </c>
      <c r="L307" s="21" t="s">
        <v>24</v>
      </c>
      <c r="M307" s="21">
        <v>-1</v>
      </c>
      <c r="N307" s="19">
        <v>145</v>
      </c>
      <c r="O307" s="19">
        <v>225</v>
      </c>
      <c r="P307" s="19">
        <v>185</v>
      </c>
      <c r="Q307" s="19">
        <v>13</v>
      </c>
      <c r="R307" s="22" t="str">
        <f>IF(Cleaned_DS_jobs!$Q307&lt;10,"little_age_company",IF(AND(Cleaned_DS_jobs!$Q307&gt;=10,Cleaned_DS_jobs!$Q307&lt;=20),"average_age_company","Big_age_company"))</f>
        <v>average_age_company</v>
      </c>
    </row>
    <row r="308" spans="1:18" ht="19.95" customHeight="1" x14ac:dyDescent="0.3">
      <c r="A308" s="13" t="s">
        <v>26</v>
      </c>
      <c r="B308" s="14" t="s">
        <v>1716</v>
      </c>
      <c r="C308" s="14">
        <v>3.9</v>
      </c>
      <c r="D308" s="15" t="s">
        <v>2198</v>
      </c>
      <c r="E308" s="14" t="s">
        <v>990</v>
      </c>
      <c r="F308" s="16" t="s">
        <v>1800</v>
      </c>
      <c r="G308" s="16" t="s">
        <v>107</v>
      </c>
      <c r="H308" s="14">
        <v>2004</v>
      </c>
      <c r="I308" s="16" t="s">
        <v>53</v>
      </c>
      <c r="J308" s="16" t="s">
        <v>92</v>
      </c>
      <c r="K308" s="16" t="s">
        <v>60</v>
      </c>
      <c r="L308" s="16" t="s">
        <v>160</v>
      </c>
      <c r="M308" s="16">
        <v>-1</v>
      </c>
      <c r="N308" s="14">
        <v>145</v>
      </c>
      <c r="O308" s="14">
        <v>225</v>
      </c>
      <c r="P308" s="14">
        <v>185</v>
      </c>
      <c r="Q308" s="14">
        <v>22</v>
      </c>
      <c r="R308" s="17" t="str">
        <f>IF(Cleaned_DS_jobs!$Q308&lt;10,"little_age_company",IF(AND(Cleaned_DS_jobs!$Q308&gt;=10,Cleaned_DS_jobs!$Q308&lt;=20),"average_age_company","Big_age_company"))</f>
        <v>Big_age_company</v>
      </c>
    </row>
    <row r="309" spans="1:18" ht="19.95" customHeight="1" x14ac:dyDescent="0.3">
      <c r="A309" s="18" t="s">
        <v>26</v>
      </c>
      <c r="B309" s="19" t="s">
        <v>1716</v>
      </c>
      <c r="C309" s="19">
        <v>3.2</v>
      </c>
      <c r="D309" s="20" t="s">
        <v>2199</v>
      </c>
      <c r="E309" s="19" t="s">
        <v>192</v>
      </c>
      <c r="F309" s="21" t="s">
        <v>1896</v>
      </c>
      <c r="G309" s="21" t="s">
        <v>117</v>
      </c>
      <c r="H309" s="19">
        <v>-1</v>
      </c>
      <c r="I309" s="21" t="s">
        <v>53</v>
      </c>
      <c r="J309" s="21" t="s">
        <v>92</v>
      </c>
      <c r="K309" s="21" t="s">
        <v>60</v>
      </c>
      <c r="L309" s="21" t="s">
        <v>212</v>
      </c>
      <c r="M309" s="21">
        <v>-1</v>
      </c>
      <c r="N309" s="19">
        <v>145</v>
      </c>
      <c r="O309" s="19">
        <v>225</v>
      </c>
      <c r="P309" s="19">
        <v>185</v>
      </c>
      <c r="Q309" s="19">
        <v>-1</v>
      </c>
      <c r="R309" s="22" t="str">
        <f>IF(Cleaned_DS_jobs!$Q309&lt;10,"little_age_company",IF(AND(Cleaned_DS_jobs!$Q309&gt;=10,Cleaned_DS_jobs!$Q309&lt;=20),"average_age_company","Big_age_company"))</f>
        <v>little_age_company</v>
      </c>
    </row>
    <row r="310" spans="1:18" ht="19.95" customHeight="1" x14ac:dyDescent="0.3">
      <c r="A310" s="13" t="s">
        <v>26</v>
      </c>
      <c r="B310" s="14" t="s">
        <v>1716</v>
      </c>
      <c r="C310" s="14">
        <v>5</v>
      </c>
      <c r="D310" s="15" t="s">
        <v>2199</v>
      </c>
      <c r="E310" s="14" t="s">
        <v>19</v>
      </c>
      <c r="F310" s="16" t="s">
        <v>1897</v>
      </c>
      <c r="G310" s="16" t="s">
        <v>688</v>
      </c>
      <c r="H310" s="14">
        <v>-1</v>
      </c>
      <c r="I310" s="16" t="s">
        <v>32</v>
      </c>
      <c r="J310" s="16" t="s">
        <v>1972</v>
      </c>
      <c r="K310" s="16" t="s">
        <v>1972</v>
      </c>
      <c r="L310" s="16" t="s">
        <v>24</v>
      </c>
      <c r="M310" s="16">
        <v>-1</v>
      </c>
      <c r="N310" s="14">
        <v>145</v>
      </c>
      <c r="O310" s="14">
        <v>225</v>
      </c>
      <c r="P310" s="14">
        <v>185</v>
      </c>
      <c r="Q310" s="14">
        <v>-1</v>
      </c>
      <c r="R310" s="17" t="str">
        <f>IF(Cleaned_DS_jobs!$Q310&lt;10,"little_age_company",IF(AND(Cleaned_DS_jobs!$Q310&gt;=10,Cleaned_DS_jobs!$Q310&lt;=20),"average_age_company","Big_age_company"))</f>
        <v>little_age_company</v>
      </c>
    </row>
    <row r="311" spans="1:18" ht="19.95" customHeight="1" x14ac:dyDescent="0.3">
      <c r="A311" s="18" t="s">
        <v>26</v>
      </c>
      <c r="B311" s="19" t="s">
        <v>1716</v>
      </c>
      <c r="C311" s="19">
        <v>3.4</v>
      </c>
      <c r="D311" s="20" t="s">
        <v>2200</v>
      </c>
      <c r="E311" s="19" t="s">
        <v>415</v>
      </c>
      <c r="F311" s="21" t="s">
        <v>1898</v>
      </c>
      <c r="G311" s="21" t="s">
        <v>31</v>
      </c>
      <c r="H311" s="19">
        <v>2003</v>
      </c>
      <c r="I311" s="21" t="s">
        <v>53</v>
      </c>
      <c r="J311" s="21" t="s">
        <v>175</v>
      </c>
      <c r="K311" s="21" t="s">
        <v>175</v>
      </c>
      <c r="L311" s="21" t="s">
        <v>101</v>
      </c>
      <c r="M311" s="21">
        <v>-1</v>
      </c>
      <c r="N311" s="19">
        <v>145</v>
      </c>
      <c r="O311" s="19">
        <v>225</v>
      </c>
      <c r="P311" s="19">
        <v>185</v>
      </c>
      <c r="Q311" s="19">
        <v>23</v>
      </c>
      <c r="R311" s="22" t="str">
        <f>IF(Cleaned_DS_jobs!$Q311&lt;10,"little_age_company",IF(AND(Cleaned_DS_jobs!$Q311&gt;=10,Cleaned_DS_jobs!$Q311&lt;=20),"average_age_company","Big_age_company"))</f>
        <v>Big_age_company</v>
      </c>
    </row>
    <row r="312" spans="1:18" ht="19.95" customHeight="1" x14ac:dyDescent="0.3">
      <c r="A312" s="13" t="s">
        <v>26</v>
      </c>
      <c r="B312" s="14" t="s">
        <v>1716</v>
      </c>
      <c r="C312" s="14">
        <v>4.4000000000000004</v>
      </c>
      <c r="D312" s="15" t="s">
        <v>2201</v>
      </c>
      <c r="E312" s="14" t="s">
        <v>19</v>
      </c>
      <c r="F312" s="16" t="s">
        <v>1872</v>
      </c>
      <c r="G312" s="16" t="s">
        <v>52</v>
      </c>
      <c r="H312" s="14">
        <v>2015</v>
      </c>
      <c r="I312" s="16" t="s">
        <v>53</v>
      </c>
      <c r="J312" s="16" t="s">
        <v>92</v>
      </c>
      <c r="K312" s="16" t="s">
        <v>60</v>
      </c>
      <c r="L312" s="16" t="s">
        <v>24</v>
      </c>
      <c r="M312" s="16">
        <v>-1</v>
      </c>
      <c r="N312" s="14">
        <v>145</v>
      </c>
      <c r="O312" s="14">
        <v>225</v>
      </c>
      <c r="P312" s="14">
        <v>185</v>
      </c>
      <c r="Q312" s="14">
        <v>11</v>
      </c>
      <c r="R312" s="17" t="str">
        <f>IF(Cleaned_DS_jobs!$Q312&lt;10,"little_age_company",IF(AND(Cleaned_DS_jobs!$Q312&gt;=10,Cleaned_DS_jobs!$Q312&lt;=20),"average_age_company","Big_age_company"))</f>
        <v>average_age_company</v>
      </c>
    </row>
    <row r="313" spans="1:18" ht="19.95" customHeight="1" x14ac:dyDescent="0.3">
      <c r="A313" s="18" t="s">
        <v>704</v>
      </c>
      <c r="B313" s="19" t="s">
        <v>1716</v>
      </c>
      <c r="C313" s="19">
        <v>3.8</v>
      </c>
      <c r="D313" s="20" t="s">
        <v>2128</v>
      </c>
      <c r="E313" s="19" t="s">
        <v>707</v>
      </c>
      <c r="F313" s="21" t="s">
        <v>1849</v>
      </c>
      <c r="G313" s="21" t="s">
        <v>31</v>
      </c>
      <c r="H313" s="19">
        <v>1918</v>
      </c>
      <c r="I313" s="21" t="s">
        <v>21</v>
      </c>
      <c r="J313" s="21" t="s">
        <v>139</v>
      </c>
      <c r="K313" s="21" t="s">
        <v>140</v>
      </c>
      <c r="L313" s="21" t="s">
        <v>41</v>
      </c>
      <c r="M313" s="21" t="s">
        <v>708</v>
      </c>
      <c r="N313" s="19">
        <v>145</v>
      </c>
      <c r="O313" s="19">
        <v>225</v>
      </c>
      <c r="P313" s="19">
        <v>185</v>
      </c>
      <c r="Q313" s="19">
        <v>108</v>
      </c>
      <c r="R313" s="22" t="str">
        <f>IF(Cleaned_DS_jobs!$Q313&lt;10,"little_age_company",IF(AND(Cleaned_DS_jobs!$Q313&gt;=10,Cleaned_DS_jobs!$Q313&lt;=20),"average_age_company","Big_age_company"))</f>
        <v>Big_age_company</v>
      </c>
    </row>
    <row r="314" spans="1:18" ht="19.95" customHeight="1" x14ac:dyDescent="0.3">
      <c r="A314" s="13" t="s">
        <v>1676</v>
      </c>
      <c r="B314" s="14" t="s">
        <v>1716</v>
      </c>
      <c r="C314" s="14">
        <v>3.8</v>
      </c>
      <c r="D314" s="15" t="s">
        <v>2129</v>
      </c>
      <c r="E314" s="14" t="s">
        <v>712</v>
      </c>
      <c r="F314" s="16" t="s">
        <v>1779</v>
      </c>
      <c r="G314" s="16" t="s">
        <v>107</v>
      </c>
      <c r="H314" s="14">
        <v>2013</v>
      </c>
      <c r="I314" s="16" t="s">
        <v>32</v>
      </c>
      <c r="J314" s="16" t="s">
        <v>67</v>
      </c>
      <c r="K314" s="16" t="s">
        <v>67</v>
      </c>
      <c r="L314" s="16" t="s">
        <v>41</v>
      </c>
      <c r="M314" s="16">
        <v>-1</v>
      </c>
      <c r="N314" s="14">
        <v>145</v>
      </c>
      <c r="O314" s="14">
        <v>225</v>
      </c>
      <c r="P314" s="14">
        <v>185</v>
      </c>
      <c r="Q314" s="14">
        <v>13</v>
      </c>
      <c r="R314" s="17" t="str">
        <f>IF(Cleaned_DS_jobs!$Q314&lt;10,"little_age_company",IF(AND(Cleaned_DS_jobs!$Q314&gt;=10,Cleaned_DS_jobs!$Q314&lt;=20),"average_age_company","Big_age_company"))</f>
        <v>average_age_company</v>
      </c>
    </row>
    <row r="315" spans="1:18" ht="19.95" customHeight="1" x14ac:dyDescent="0.3">
      <c r="A315" s="18" t="s">
        <v>26</v>
      </c>
      <c r="B315" s="19" t="s">
        <v>1716</v>
      </c>
      <c r="C315" s="19">
        <v>3.5</v>
      </c>
      <c r="D315" s="20" t="s">
        <v>2202</v>
      </c>
      <c r="E315" s="19" t="s">
        <v>163</v>
      </c>
      <c r="F315" s="21" t="s">
        <v>1884</v>
      </c>
      <c r="G315" s="21" t="s">
        <v>107</v>
      </c>
      <c r="H315" s="19">
        <v>1992</v>
      </c>
      <c r="I315" s="21" t="s">
        <v>32</v>
      </c>
      <c r="J315" s="21" t="s">
        <v>1003</v>
      </c>
      <c r="K315" s="21" t="s">
        <v>170</v>
      </c>
      <c r="L315" s="21" t="s">
        <v>41</v>
      </c>
      <c r="M315" s="21">
        <v>-1</v>
      </c>
      <c r="N315" s="19">
        <v>145</v>
      </c>
      <c r="O315" s="19">
        <v>225</v>
      </c>
      <c r="P315" s="19">
        <v>185</v>
      </c>
      <c r="Q315" s="19">
        <v>34</v>
      </c>
      <c r="R315" s="22" t="str">
        <f>IF(Cleaned_DS_jobs!$Q315&lt;10,"little_age_company",IF(AND(Cleaned_DS_jobs!$Q315&gt;=10,Cleaned_DS_jobs!$Q315&lt;=20),"average_age_company","Big_age_company"))</f>
        <v>Big_age_company</v>
      </c>
    </row>
    <row r="316" spans="1:18" ht="19.95" customHeight="1" x14ac:dyDescent="0.3">
      <c r="A316" s="13" t="s">
        <v>240</v>
      </c>
      <c r="B316" s="14" t="s">
        <v>1716</v>
      </c>
      <c r="C316" s="14">
        <v>3.8</v>
      </c>
      <c r="D316" s="15" t="s">
        <v>2203</v>
      </c>
      <c r="E316" s="14" t="s">
        <v>143</v>
      </c>
      <c r="F316" s="16" t="s">
        <v>1763</v>
      </c>
      <c r="G316" s="16" t="s">
        <v>107</v>
      </c>
      <c r="H316" s="14">
        <v>2011</v>
      </c>
      <c r="I316" s="16" t="s">
        <v>53</v>
      </c>
      <c r="J316" s="16" t="s">
        <v>22</v>
      </c>
      <c r="K316" s="16" t="s">
        <v>23</v>
      </c>
      <c r="L316" s="16" t="s">
        <v>24</v>
      </c>
      <c r="M316" s="16">
        <v>-1</v>
      </c>
      <c r="N316" s="14">
        <v>145</v>
      </c>
      <c r="O316" s="14">
        <v>225</v>
      </c>
      <c r="P316" s="14">
        <v>185</v>
      </c>
      <c r="Q316" s="14">
        <v>15</v>
      </c>
      <c r="R316" s="17" t="str">
        <f>IF(Cleaned_DS_jobs!$Q316&lt;10,"little_age_company",IF(AND(Cleaned_DS_jobs!$Q316&gt;=10,Cleaned_DS_jobs!$Q316&lt;=20),"average_age_company","Big_age_company"))</f>
        <v>average_age_company</v>
      </c>
    </row>
    <row r="317" spans="1:18" ht="19.95" customHeight="1" x14ac:dyDescent="0.3">
      <c r="A317" s="18" t="s">
        <v>26</v>
      </c>
      <c r="B317" s="19" t="s">
        <v>1716</v>
      </c>
      <c r="C317" s="19">
        <v>3.9</v>
      </c>
      <c r="D317" s="20" t="s">
        <v>2204</v>
      </c>
      <c r="E317" s="19" t="s">
        <v>1008</v>
      </c>
      <c r="F317" s="21" t="s">
        <v>1869</v>
      </c>
      <c r="G317" s="21" t="s">
        <v>20</v>
      </c>
      <c r="H317" s="19">
        <v>2005</v>
      </c>
      <c r="I317" s="21" t="s">
        <v>32</v>
      </c>
      <c r="J317" s="21" t="s">
        <v>123</v>
      </c>
      <c r="K317" s="21" t="s">
        <v>60</v>
      </c>
      <c r="L317" s="21" t="s">
        <v>79</v>
      </c>
      <c r="M317" s="21" t="s">
        <v>1009</v>
      </c>
      <c r="N317" s="19">
        <v>145</v>
      </c>
      <c r="O317" s="19">
        <v>225</v>
      </c>
      <c r="P317" s="19">
        <v>185</v>
      </c>
      <c r="Q317" s="19">
        <v>21</v>
      </c>
      <c r="R317" s="22" t="str">
        <f>IF(Cleaned_DS_jobs!$Q317&lt;10,"little_age_company",IF(AND(Cleaned_DS_jobs!$Q317&gt;=10,Cleaned_DS_jobs!$Q317&lt;=20),"average_age_company","Big_age_company"))</f>
        <v>Big_age_company</v>
      </c>
    </row>
    <row r="318" spans="1:18" ht="19.95" customHeight="1" x14ac:dyDescent="0.3">
      <c r="A318" s="13" t="s">
        <v>26</v>
      </c>
      <c r="B318" s="14" t="s">
        <v>1716</v>
      </c>
      <c r="C318" s="14">
        <v>3.4</v>
      </c>
      <c r="D318" s="15" t="s">
        <v>2205</v>
      </c>
      <c r="E318" s="14" t="s">
        <v>914</v>
      </c>
      <c r="F318" s="16" t="s">
        <v>1882</v>
      </c>
      <c r="G318" s="16" t="s">
        <v>52</v>
      </c>
      <c r="H318" s="14">
        <v>-1</v>
      </c>
      <c r="I318" s="16" t="s">
        <v>53</v>
      </c>
      <c r="J318" s="16" t="s">
        <v>1972</v>
      </c>
      <c r="K318" s="16" t="s">
        <v>1972</v>
      </c>
      <c r="L318" s="16" t="s">
        <v>212</v>
      </c>
      <c r="M318" s="16">
        <v>-1</v>
      </c>
      <c r="N318" s="14">
        <v>145</v>
      </c>
      <c r="O318" s="14">
        <v>225</v>
      </c>
      <c r="P318" s="14">
        <v>185</v>
      </c>
      <c r="Q318" s="14">
        <v>-1</v>
      </c>
      <c r="R318" s="17" t="str">
        <f>IF(Cleaned_DS_jobs!$Q318&lt;10,"little_age_company",IF(AND(Cleaned_DS_jobs!$Q318&gt;=10,Cleaned_DS_jobs!$Q318&lt;=20),"average_age_company","Big_age_company"))</f>
        <v>little_age_company</v>
      </c>
    </row>
    <row r="319" spans="1:18" ht="19.95" customHeight="1" x14ac:dyDescent="0.3">
      <c r="A319" s="18" t="s">
        <v>26</v>
      </c>
      <c r="B319" s="19" t="s">
        <v>1716</v>
      </c>
      <c r="C319" s="19">
        <v>3.8</v>
      </c>
      <c r="D319" s="20" t="s">
        <v>2206</v>
      </c>
      <c r="E319" s="19" t="s">
        <v>19</v>
      </c>
      <c r="F319" s="21" t="s">
        <v>1899</v>
      </c>
      <c r="G319" s="21" t="s">
        <v>52</v>
      </c>
      <c r="H319" s="19">
        <v>2000</v>
      </c>
      <c r="I319" s="21" t="s">
        <v>53</v>
      </c>
      <c r="J319" s="21" t="s">
        <v>286</v>
      </c>
      <c r="K319" s="21" t="s">
        <v>34</v>
      </c>
      <c r="L319" s="21" t="s">
        <v>164</v>
      </c>
      <c r="M319" s="21">
        <v>-1</v>
      </c>
      <c r="N319" s="19">
        <v>145</v>
      </c>
      <c r="O319" s="19">
        <v>225</v>
      </c>
      <c r="P319" s="19">
        <v>185</v>
      </c>
      <c r="Q319" s="19">
        <v>26</v>
      </c>
      <c r="R319" s="22" t="str">
        <f>IF(Cleaned_DS_jobs!$Q319&lt;10,"little_age_company",IF(AND(Cleaned_DS_jobs!$Q319&gt;=10,Cleaned_DS_jobs!$Q319&lt;=20),"average_age_company","Big_age_company"))</f>
        <v>Big_age_company</v>
      </c>
    </row>
    <row r="320" spans="1:18" ht="19.95" customHeight="1" x14ac:dyDescent="0.3">
      <c r="A320" s="13" t="s">
        <v>713</v>
      </c>
      <c r="B320" s="14" t="s">
        <v>1716</v>
      </c>
      <c r="C320" s="14">
        <v>4.5999999999999996</v>
      </c>
      <c r="D320" s="15" t="s">
        <v>2130</v>
      </c>
      <c r="E320" s="14" t="s">
        <v>716</v>
      </c>
      <c r="F320" s="16" t="s">
        <v>1850</v>
      </c>
      <c r="G320" s="16" t="s">
        <v>46</v>
      </c>
      <c r="H320" s="14">
        <v>1992</v>
      </c>
      <c r="I320" s="16" t="s">
        <v>53</v>
      </c>
      <c r="J320" s="16" t="s">
        <v>520</v>
      </c>
      <c r="K320" s="16" t="s">
        <v>170</v>
      </c>
      <c r="L320" s="16" t="s">
        <v>41</v>
      </c>
      <c r="M320" s="16">
        <v>-1</v>
      </c>
      <c r="N320" s="14">
        <v>145</v>
      </c>
      <c r="O320" s="14">
        <v>225</v>
      </c>
      <c r="P320" s="14">
        <v>185</v>
      </c>
      <c r="Q320" s="14">
        <v>34</v>
      </c>
      <c r="R320" s="17" t="str">
        <f>IF(Cleaned_DS_jobs!$Q320&lt;10,"little_age_company",IF(AND(Cleaned_DS_jobs!$Q320&gt;=10,Cleaned_DS_jobs!$Q320&lt;=20),"average_age_company","Big_age_company"))</f>
        <v>Big_age_company</v>
      </c>
    </row>
    <row r="321" spans="1:18" ht="19.95" customHeight="1" x14ac:dyDescent="0.3">
      <c r="A321" s="18" t="s">
        <v>26</v>
      </c>
      <c r="B321" s="19" t="s">
        <v>1716</v>
      </c>
      <c r="C321" s="19">
        <v>-1</v>
      </c>
      <c r="D321" s="20" t="s">
        <v>1016</v>
      </c>
      <c r="E321" s="19" t="s">
        <v>19</v>
      </c>
      <c r="F321" s="21" t="s">
        <v>1757</v>
      </c>
      <c r="G321" s="21" t="s">
        <v>117</v>
      </c>
      <c r="H321" s="19">
        <v>-1</v>
      </c>
      <c r="I321" s="21" t="s">
        <v>53</v>
      </c>
      <c r="J321" s="21" t="s">
        <v>40</v>
      </c>
      <c r="K321" s="21" t="s">
        <v>34</v>
      </c>
      <c r="L321" s="21" t="s">
        <v>212</v>
      </c>
      <c r="M321" s="21">
        <v>-1</v>
      </c>
      <c r="N321" s="19">
        <v>145</v>
      </c>
      <c r="O321" s="19">
        <v>225</v>
      </c>
      <c r="P321" s="19">
        <v>185</v>
      </c>
      <c r="Q321" s="19">
        <v>-1</v>
      </c>
      <c r="R321" s="22" t="str">
        <f>IF(Cleaned_DS_jobs!$Q321&lt;10,"little_age_company",IF(AND(Cleaned_DS_jobs!$Q321&gt;=10,Cleaned_DS_jobs!$Q321&lt;=20),"average_age_company","Big_age_company"))</f>
        <v>little_age_company</v>
      </c>
    </row>
    <row r="322" spans="1:18" ht="19.95" customHeight="1" x14ac:dyDescent="0.3">
      <c r="A322" s="13" t="s">
        <v>26</v>
      </c>
      <c r="B322" s="14" t="s">
        <v>1716</v>
      </c>
      <c r="C322" s="14">
        <v>4.5999999999999996</v>
      </c>
      <c r="D322" s="15" t="s">
        <v>2207</v>
      </c>
      <c r="E322" s="14" t="s">
        <v>1019</v>
      </c>
      <c r="F322" s="16" t="s">
        <v>1760</v>
      </c>
      <c r="G322" s="16" t="s">
        <v>52</v>
      </c>
      <c r="H322" s="14">
        <v>-1</v>
      </c>
      <c r="I322" s="16" t="s">
        <v>53</v>
      </c>
      <c r="J322" s="16" t="s">
        <v>40</v>
      </c>
      <c r="K322" s="16" t="s">
        <v>34</v>
      </c>
      <c r="L322" s="16" t="s">
        <v>403</v>
      </c>
      <c r="M322" s="16">
        <v>-1</v>
      </c>
      <c r="N322" s="14">
        <v>145</v>
      </c>
      <c r="O322" s="14">
        <v>225</v>
      </c>
      <c r="P322" s="14">
        <v>185</v>
      </c>
      <c r="Q322" s="14">
        <v>-1</v>
      </c>
      <c r="R322" s="17" t="str">
        <f>IF(Cleaned_DS_jobs!$Q322&lt;10,"little_age_company",IF(AND(Cleaned_DS_jobs!$Q322&gt;=10,Cleaned_DS_jobs!$Q322&lt;=20),"average_age_company","Big_age_company"))</f>
        <v>little_age_company</v>
      </c>
    </row>
    <row r="323" spans="1:18" ht="19.95" customHeight="1" x14ac:dyDescent="0.3">
      <c r="A323" s="18" t="s">
        <v>1020</v>
      </c>
      <c r="B323" s="19" t="s">
        <v>1716</v>
      </c>
      <c r="C323" s="19">
        <v>3.9</v>
      </c>
      <c r="D323" s="20" t="s">
        <v>2208</v>
      </c>
      <c r="E323" s="19" t="s">
        <v>975</v>
      </c>
      <c r="F323" s="21" t="s">
        <v>1900</v>
      </c>
      <c r="G323" s="21" t="s">
        <v>66</v>
      </c>
      <c r="H323" s="19">
        <v>1830</v>
      </c>
      <c r="I323" s="21" t="s">
        <v>32</v>
      </c>
      <c r="J323" s="21" t="s">
        <v>67</v>
      </c>
      <c r="K323" s="21" t="s">
        <v>67</v>
      </c>
      <c r="L323" s="21" t="s">
        <v>68</v>
      </c>
      <c r="M323" s="21" t="s">
        <v>1024</v>
      </c>
      <c r="N323" s="19">
        <v>145</v>
      </c>
      <c r="O323" s="19">
        <v>225</v>
      </c>
      <c r="P323" s="19">
        <v>185</v>
      </c>
      <c r="Q323" s="19">
        <v>196</v>
      </c>
      <c r="R323" s="22" t="str">
        <f>IF(Cleaned_DS_jobs!$Q323&lt;10,"little_age_company",IF(AND(Cleaned_DS_jobs!$Q323&gt;=10,Cleaned_DS_jobs!$Q323&lt;=20),"average_age_company","Big_age_company"))</f>
        <v>Big_age_company</v>
      </c>
    </row>
    <row r="324" spans="1:18" ht="19.95" customHeight="1" x14ac:dyDescent="0.3">
      <c r="A324" s="13" t="s">
        <v>26</v>
      </c>
      <c r="B324" s="14" t="s">
        <v>1716</v>
      </c>
      <c r="C324" s="14">
        <v>-1</v>
      </c>
      <c r="D324" s="15" t="s">
        <v>1735</v>
      </c>
      <c r="E324" s="14" t="s">
        <v>647</v>
      </c>
      <c r="F324" s="16" t="s">
        <v>1901</v>
      </c>
      <c r="G324" s="16" t="s">
        <v>117</v>
      </c>
      <c r="H324" s="14">
        <v>-1</v>
      </c>
      <c r="I324" s="16" t="s">
        <v>53</v>
      </c>
      <c r="J324" s="16" t="s">
        <v>1972</v>
      </c>
      <c r="K324" s="16" t="s">
        <v>1972</v>
      </c>
      <c r="L324" s="16" t="s">
        <v>24</v>
      </c>
      <c r="M324" s="16">
        <v>-1</v>
      </c>
      <c r="N324" s="14">
        <v>145</v>
      </c>
      <c r="O324" s="14">
        <v>225</v>
      </c>
      <c r="P324" s="14">
        <v>185</v>
      </c>
      <c r="Q324" s="14">
        <v>-1</v>
      </c>
      <c r="R324" s="17" t="str">
        <f>IF(Cleaned_DS_jobs!$Q324&lt;10,"little_age_company",IF(AND(Cleaned_DS_jobs!$Q324&gt;=10,Cleaned_DS_jobs!$Q324&lt;=20),"average_age_company","Big_age_company"))</f>
        <v>little_age_company</v>
      </c>
    </row>
    <row r="325" spans="1:18" ht="19.95" customHeight="1" x14ac:dyDescent="0.3">
      <c r="A325" s="18" t="s">
        <v>26</v>
      </c>
      <c r="B325" s="19" t="s">
        <v>1717</v>
      </c>
      <c r="C325" s="19">
        <v>3.7</v>
      </c>
      <c r="D325" s="20" t="s">
        <v>2019</v>
      </c>
      <c r="E325" s="19" t="s">
        <v>143</v>
      </c>
      <c r="F325" s="21" t="s">
        <v>1778</v>
      </c>
      <c r="G325" s="21" t="s">
        <v>20</v>
      </c>
      <c r="H325" s="19">
        <v>2016</v>
      </c>
      <c r="I325" s="21" t="s">
        <v>98</v>
      </c>
      <c r="J325" s="21" t="s">
        <v>118</v>
      </c>
      <c r="K325" s="21" t="s">
        <v>98</v>
      </c>
      <c r="L325" s="21" t="s">
        <v>24</v>
      </c>
      <c r="M325" s="21">
        <v>-1</v>
      </c>
      <c r="N325" s="19">
        <v>79</v>
      </c>
      <c r="O325" s="19">
        <v>147</v>
      </c>
      <c r="P325" s="19">
        <v>113</v>
      </c>
      <c r="Q325" s="19">
        <v>10</v>
      </c>
      <c r="R325" s="22" t="str">
        <f>IF(Cleaned_DS_jobs!$Q325&lt;10,"little_age_company",IF(AND(Cleaned_DS_jobs!$Q325&gt;=10,Cleaned_DS_jobs!$Q325&lt;=20),"average_age_company","Big_age_company"))</f>
        <v>average_age_company</v>
      </c>
    </row>
    <row r="326" spans="1:18" ht="19.95" customHeight="1" x14ac:dyDescent="0.3">
      <c r="A326" s="13" t="s">
        <v>26</v>
      </c>
      <c r="B326" s="14" t="s">
        <v>1717</v>
      </c>
      <c r="C326" s="14">
        <v>3.3</v>
      </c>
      <c r="D326" s="15" t="s">
        <v>2018</v>
      </c>
      <c r="E326" s="14" t="s">
        <v>200</v>
      </c>
      <c r="F326" s="16" t="s">
        <v>1771</v>
      </c>
      <c r="G326" s="16" t="s">
        <v>46</v>
      </c>
      <c r="H326" s="14">
        <v>2000</v>
      </c>
      <c r="I326" s="16" t="s">
        <v>53</v>
      </c>
      <c r="J326" s="16" t="s">
        <v>169</v>
      </c>
      <c r="K326" s="16" t="s">
        <v>170</v>
      </c>
      <c r="L326" s="16" t="s">
        <v>24</v>
      </c>
      <c r="M326" s="16">
        <v>-1</v>
      </c>
      <c r="N326" s="14">
        <v>79</v>
      </c>
      <c r="O326" s="14">
        <v>147</v>
      </c>
      <c r="P326" s="14">
        <v>113</v>
      </c>
      <c r="Q326" s="14">
        <v>26</v>
      </c>
      <c r="R326" s="17" t="str">
        <f>IF(Cleaned_DS_jobs!$Q326&lt;10,"little_age_company",IF(AND(Cleaned_DS_jobs!$Q326&gt;=10,Cleaned_DS_jobs!$Q326&lt;=20),"average_age_company","Big_age_company"))</f>
        <v>Big_age_company</v>
      </c>
    </row>
    <row r="327" spans="1:18" ht="19.95" customHeight="1" x14ac:dyDescent="0.3">
      <c r="A327" s="18" t="s">
        <v>189</v>
      </c>
      <c r="B327" s="19" t="s">
        <v>1717</v>
      </c>
      <c r="C327" s="19">
        <v>4.4000000000000004</v>
      </c>
      <c r="D327" s="20" t="s">
        <v>2133</v>
      </c>
      <c r="E327" s="19" t="s">
        <v>143</v>
      </c>
      <c r="F327" s="21" t="s">
        <v>1763</v>
      </c>
      <c r="G327" s="21" t="s">
        <v>52</v>
      </c>
      <c r="H327" s="19">
        <v>2008</v>
      </c>
      <c r="I327" s="21" t="s">
        <v>53</v>
      </c>
      <c r="J327" s="21" t="s">
        <v>59</v>
      </c>
      <c r="K327" s="21" t="s">
        <v>60</v>
      </c>
      <c r="L327" s="21" t="s">
        <v>194</v>
      </c>
      <c r="M327" s="21">
        <v>-1</v>
      </c>
      <c r="N327" s="19">
        <v>79</v>
      </c>
      <c r="O327" s="19">
        <v>147</v>
      </c>
      <c r="P327" s="19">
        <v>113</v>
      </c>
      <c r="Q327" s="19">
        <v>18</v>
      </c>
      <c r="R327" s="22" t="str">
        <f>IF(Cleaned_DS_jobs!$Q327&lt;10,"little_age_company",IF(AND(Cleaned_DS_jobs!$Q327&gt;=10,Cleaned_DS_jobs!$Q327&lt;=20),"average_age_company","Big_age_company"))</f>
        <v>average_age_company</v>
      </c>
    </row>
    <row r="328" spans="1:18" ht="19.95" customHeight="1" x14ac:dyDescent="0.3">
      <c r="A328" s="13" t="s">
        <v>26</v>
      </c>
      <c r="B328" s="14" t="s">
        <v>1717</v>
      </c>
      <c r="C328" s="14">
        <v>3.7</v>
      </c>
      <c r="D328" s="15" t="s">
        <v>2209</v>
      </c>
      <c r="E328" s="14" t="s">
        <v>844</v>
      </c>
      <c r="F328" s="16" t="s">
        <v>1902</v>
      </c>
      <c r="G328" s="16" t="s">
        <v>20</v>
      </c>
      <c r="H328" s="14">
        <v>1997</v>
      </c>
      <c r="I328" s="16" t="s">
        <v>53</v>
      </c>
      <c r="J328" s="16" t="s">
        <v>92</v>
      </c>
      <c r="K328" s="16" t="s">
        <v>60</v>
      </c>
      <c r="L328" s="16" t="s">
        <v>164</v>
      </c>
      <c r="M328" s="16">
        <v>-1</v>
      </c>
      <c r="N328" s="14">
        <v>79</v>
      </c>
      <c r="O328" s="14">
        <v>147</v>
      </c>
      <c r="P328" s="14">
        <v>113</v>
      </c>
      <c r="Q328" s="14">
        <v>29</v>
      </c>
      <c r="R328" s="17" t="str">
        <f>IF(Cleaned_DS_jobs!$Q328&lt;10,"little_age_company",IF(AND(Cleaned_DS_jobs!$Q328&gt;=10,Cleaned_DS_jobs!$Q328&lt;=20),"average_age_company","Big_age_company"))</f>
        <v>Big_age_company</v>
      </c>
    </row>
    <row r="329" spans="1:18" ht="19.95" customHeight="1" x14ac:dyDescent="0.3">
      <c r="A329" s="18" t="s">
        <v>26</v>
      </c>
      <c r="B329" s="19" t="s">
        <v>1717</v>
      </c>
      <c r="C329" s="19">
        <v>3.3</v>
      </c>
      <c r="D329" s="20" t="s">
        <v>2210</v>
      </c>
      <c r="E329" s="19" t="s">
        <v>143</v>
      </c>
      <c r="F329" s="21" t="s">
        <v>1903</v>
      </c>
      <c r="G329" s="21" t="s">
        <v>107</v>
      </c>
      <c r="H329" s="19">
        <v>1995</v>
      </c>
      <c r="I329" s="21" t="s">
        <v>53</v>
      </c>
      <c r="J329" s="21" t="s">
        <v>286</v>
      </c>
      <c r="K329" s="21" t="s">
        <v>34</v>
      </c>
      <c r="L329" s="21" t="s">
        <v>164</v>
      </c>
      <c r="M329" s="21">
        <v>-1</v>
      </c>
      <c r="N329" s="19">
        <v>79</v>
      </c>
      <c r="O329" s="19">
        <v>147</v>
      </c>
      <c r="P329" s="19">
        <v>113</v>
      </c>
      <c r="Q329" s="19">
        <v>31</v>
      </c>
      <c r="R329" s="22" t="str">
        <f>IF(Cleaned_DS_jobs!$Q329&lt;10,"little_age_company",IF(AND(Cleaned_DS_jobs!$Q329&gt;=10,Cleaned_DS_jobs!$Q329&lt;=20),"average_age_company","Big_age_company"))</f>
        <v>Big_age_company</v>
      </c>
    </row>
    <row r="330" spans="1:18" ht="19.95" customHeight="1" x14ac:dyDescent="0.3">
      <c r="A330" s="13" t="s">
        <v>26</v>
      </c>
      <c r="B330" s="14" t="s">
        <v>1717</v>
      </c>
      <c r="C330" s="14">
        <v>3.4</v>
      </c>
      <c r="D330" s="15" t="s">
        <v>2211</v>
      </c>
      <c r="E330" s="14" t="s">
        <v>38</v>
      </c>
      <c r="F330" s="16" t="s">
        <v>1904</v>
      </c>
      <c r="G330" s="16" t="s">
        <v>52</v>
      </c>
      <c r="H330" s="14">
        <v>1984</v>
      </c>
      <c r="I330" s="16" t="s">
        <v>53</v>
      </c>
      <c r="J330" s="16" t="s">
        <v>59</v>
      </c>
      <c r="K330" s="16" t="s">
        <v>60</v>
      </c>
      <c r="L330" s="16" t="s">
        <v>403</v>
      </c>
      <c r="M330" s="16" t="s">
        <v>1037</v>
      </c>
      <c r="N330" s="14">
        <v>79</v>
      </c>
      <c r="O330" s="14">
        <v>147</v>
      </c>
      <c r="P330" s="14">
        <v>113</v>
      </c>
      <c r="Q330" s="14">
        <v>42</v>
      </c>
      <c r="R330" s="17" t="str">
        <f>IF(Cleaned_DS_jobs!$Q330&lt;10,"little_age_company",IF(AND(Cleaned_DS_jobs!$Q330&gt;=10,Cleaned_DS_jobs!$Q330&lt;=20),"average_age_company","Big_age_company"))</f>
        <v>Big_age_company</v>
      </c>
    </row>
    <row r="331" spans="1:18" ht="19.95" customHeight="1" x14ac:dyDescent="0.3">
      <c r="A331" s="18" t="s">
        <v>26</v>
      </c>
      <c r="B331" s="19" t="s">
        <v>1717</v>
      </c>
      <c r="C331" s="19">
        <v>-1</v>
      </c>
      <c r="D331" s="20" t="s">
        <v>1039</v>
      </c>
      <c r="E331" s="19" t="s">
        <v>415</v>
      </c>
      <c r="F331" s="21" t="s">
        <v>1905</v>
      </c>
      <c r="G331" s="21" t="s">
        <v>52</v>
      </c>
      <c r="H331" s="19">
        <v>-1</v>
      </c>
      <c r="I331" s="21" t="s">
        <v>53</v>
      </c>
      <c r="J331" s="21" t="s">
        <v>92</v>
      </c>
      <c r="K331" s="21" t="s">
        <v>60</v>
      </c>
      <c r="L331" s="21" t="s">
        <v>24</v>
      </c>
      <c r="M331" s="21">
        <v>-1</v>
      </c>
      <c r="N331" s="19">
        <v>79</v>
      </c>
      <c r="O331" s="19">
        <v>147</v>
      </c>
      <c r="P331" s="19">
        <v>113</v>
      </c>
      <c r="Q331" s="19">
        <v>-1</v>
      </c>
      <c r="R331" s="22" t="str">
        <f>IF(Cleaned_DS_jobs!$Q331&lt;10,"little_age_company",IF(AND(Cleaned_DS_jobs!$Q331&gt;=10,Cleaned_DS_jobs!$Q331&lt;=20),"average_age_company","Big_age_company"))</f>
        <v>little_age_company</v>
      </c>
    </row>
    <row r="332" spans="1:18" ht="19.95" customHeight="1" x14ac:dyDescent="0.3">
      <c r="A332" s="13" t="s">
        <v>221</v>
      </c>
      <c r="B332" s="14" t="s">
        <v>1717</v>
      </c>
      <c r="C332" s="14">
        <v>3.7</v>
      </c>
      <c r="D332" s="15" t="s">
        <v>2132</v>
      </c>
      <c r="E332" s="14" t="s">
        <v>722</v>
      </c>
      <c r="F332" s="16" t="s">
        <v>1852</v>
      </c>
      <c r="G332" s="16" t="s">
        <v>46</v>
      </c>
      <c r="H332" s="14">
        <v>1954</v>
      </c>
      <c r="I332" s="16" t="s">
        <v>32</v>
      </c>
      <c r="J332" s="16" t="s">
        <v>175</v>
      </c>
      <c r="K332" s="16" t="s">
        <v>175</v>
      </c>
      <c r="L332" s="16" t="s">
        <v>41</v>
      </c>
      <c r="M332" s="16" t="s">
        <v>724</v>
      </c>
      <c r="N332" s="14">
        <v>79</v>
      </c>
      <c r="O332" s="14">
        <v>147</v>
      </c>
      <c r="P332" s="14">
        <v>113</v>
      </c>
      <c r="Q332" s="14">
        <v>72</v>
      </c>
      <c r="R332" s="17" t="str">
        <f>IF(Cleaned_DS_jobs!$Q332&lt;10,"little_age_company",IF(AND(Cleaned_DS_jobs!$Q332&gt;=10,Cleaned_DS_jobs!$Q332&lt;=20),"average_age_company","Big_age_company"))</f>
        <v>Big_age_company</v>
      </c>
    </row>
    <row r="333" spans="1:18" ht="19.95" customHeight="1" x14ac:dyDescent="0.3">
      <c r="A333" s="18" t="s">
        <v>1041</v>
      </c>
      <c r="B333" s="19" t="s">
        <v>1717</v>
      </c>
      <c r="C333" s="19">
        <v>3.7</v>
      </c>
      <c r="D333" s="20" t="s">
        <v>2212</v>
      </c>
      <c r="E333" s="19" t="s">
        <v>1044</v>
      </c>
      <c r="F333" s="21" t="s">
        <v>1906</v>
      </c>
      <c r="G333" s="21" t="s">
        <v>20</v>
      </c>
      <c r="H333" s="19">
        <v>1933</v>
      </c>
      <c r="I333" s="21" t="s">
        <v>53</v>
      </c>
      <c r="J333" s="21" t="s">
        <v>22</v>
      </c>
      <c r="K333" s="21" t="s">
        <v>23</v>
      </c>
      <c r="L333" s="21" t="s">
        <v>132</v>
      </c>
      <c r="M333" s="21">
        <v>-1</v>
      </c>
      <c r="N333" s="19">
        <v>79</v>
      </c>
      <c r="O333" s="19">
        <v>147</v>
      </c>
      <c r="P333" s="19">
        <v>113</v>
      </c>
      <c r="Q333" s="19">
        <v>93</v>
      </c>
      <c r="R333" s="22" t="str">
        <f>IF(Cleaned_DS_jobs!$Q333&lt;10,"little_age_company",IF(AND(Cleaned_DS_jobs!$Q333&gt;=10,Cleaned_DS_jobs!$Q333&lt;=20),"average_age_company","Big_age_company"))</f>
        <v>Big_age_company</v>
      </c>
    </row>
    <row r="334" spans="1:18" ht="19.95" customHeight="1" x14ac:dyDescent="0.3">
      <c r="A334" s="13" t="s">
        <v>1045</v>
      </c>
      <c r="B334" s="14" t="s">
        <v>1717</v>
      </c>
      <c r="C334" s="14">
        <v>4.8</v>
      </c>
      <c r="D334" s="15" t="s">
        <v>2213</v>
      </c>
      <c r="E334" s="14" t="s">
        <v>19</v>
      </c>
      <c r="F334" s="16" t="s">
        <v>1744</v>
      </c>
      <c r="G334" s="16" t="s">
        <v>46</v>
      </c>
      <c r="H334" s="14">
        <v>2000</v>
      </c>
      <c r="I334" s="16" t="s">
        <v>53</v>
      </c>
      <c r="J334" s="16" t="s">
        <v>169</v>
      </c>
      <c r="K334" s="16" t="s">
        <v>170</v>
      </c>
      <c r="L334" s="16" t="s">
        <v>24</v>
      </c>
      <c r="M334" s="16">
        <v>-1</v>
      </c>
      <c r="N334" s="14">
        <v>79</v>
      </c>
      <c r="O334" s="14">
        <v>147</v>
      </c>
      <c r="P334" s="14">
        <v>113</v>
      </c>
      <c r="Q334" s="14">
        <v>26</v>
      </c>
      <c r="R334" s="17" t="str">
        <f>IF(Cleaned_DS_jobs!$Q334&lt;10,"little_age_company",IF(AND(Cleaned_DS_jobs!$Q334&gt;=10,Cleaned_DS_jobs!$Q334&lt;=20),"average_age_company","Big_age_company"))</f>
        <v>Big_age_company</v>
      </c>
    </row>
    <row r="335" spans="1:18" ht="19.95" customHeight="1" x14ac:dyDescent="0.3">
      <c r="A335" s="18" t="s">
        <v>26</v>
      </c>
      <c r="B335" s="19" t="s">
        <v>1717</v>
      </c>
      <c r="C335" s="19">
        <v>5</v>
      </c>
      <c r="D335" s="20" t="s">
        <v>2214</v>
      </c>
      <c r="E335" s="19" t="s">
        <v>178</v>
      </c>
      <c r="F335" s="21" t="s">
        <v>1817</v>
      </c>
      <c r="G335" s="21" t="s">
        <v>117</v>
      </c>
      <c r="H335" s="19">
        <v>2003</v>
      </c>
      <c r="I335" s="21" t="s">
        <v>53</v>
      </c>
      <c r="J335" s="21" t="s">
        <v>59</v>
      </c>
      <c r="K335" s="21" t="s">
        <v>60</v>
      </c>
      <c r="L335" s="21" t="s">
        <v>160</v>
      </c>
      <c r="M335" s="21">
        <v>-1</v>
      </c>
      <c r="N335" s="19">
        <v>79</v>
      </c>
      <c r="O335" s="19">
        <v>147</v>
      </c>
      <c r="P335" s="19">
        <v>113</v>
      </c>
      <c r="Q335" s="19">
        <v>23</v>
      </c>
      <c r="R335" s="22" t="str">
        <f>IF(Cleaned_DS_jobs!$Q335&lt;10,"little_age_company",IF(AND(Cleaned_DS_jobs!$Q335&gt;=10,Cleaned_DS_jobs!$Q335&lt;=20),"average_age_company","Big_age_company"))</f>
        <v>Big_age_company</v>
      </c>
    </row>
    <row r="336" spans="1:18" ht="19.95" customHeight="1" x14ac:dyDescent="0.3">
      <c r="A336" s="13" t="s">
        <v>1677</v>
      </c>
      <c r="B336" s="14" t="s">
        <v>1717</v>
      </c>
      <c r="C336" s="14">
        <v>3.9</v>
      </c>
      <c r="D336" s="15" t="s">
        <v>1979</v>
      </c>
      <c r="E336" s="14" t="s">
        <v>64</v>
      </c>
      <c r="F336" s="16" t="s">
        <v>1749</v>
      </c>
      <c r="G336" s="16" t="s">
        <v>66</v>
      </c>
      <c r="H336" s="14">
        <v>1996</v>
      </c>
      <c r="I336" s="16" t="s">
        <v>32</v>
      </c>
      <c r="J336" s="16" t="s">
        <v>67</v>
      </c>
      <c r="K336" s="16" t="s">
        <v>67</v>
      </c>
      <c r="L336" s="16" t="s">
        <v>68</v>
      </c>
      <c r="M336" s="16">
        <v>-1</v>
      </c>
      <c r="N336" s="14">
        <v>79</v>
      </c>
      <c r="O336" s="14">
        <v>147</v>
      </c>
      <c r="P336" s="14">
        <v>113</v>
      </c>
      <c r="Q336" s="14">
        <v>30</v>
      </c>
      <c r="R336" s="17" t="str">
        <f>IF(Cleaned_DS_jobs!$Q336&lt;10,"little_age_company",IF(AND(Cleaned_DS_jobs!$Q336&gt;=10,Cleaned_DS_jobs!$Q336&lt;=20),"average_age_company","Big_age_company"))</f>
        <v>Big_age_company</v>
      </c>
    </row>
    <row r="337" spans="1:18" ht="19.95" customHeight="1" x14ac:dyDescent="0.3">
      <c r="A337" s="18" t="s">
        <v>26</v>
      </c>
      <c r="B337" s="19" t="s">
        <v>1717</v>
      </c>
      <c r="C337" s="19">
        <v>3.4</v>
      </c>
      <c r="D337" s="20" t="s">
        <v>2215</v>
      </c>
      <c r="E337" s="19" t="s">
        <v>83</v>
      </c>
      <c r="F337" s="21" t="s">
        <v>1752</v>
      </c>
      <c r="G337" s="21" t="s">
        <v>46</v>
      </c>
      <c r="H337" s="19">
        <v>-1</v>
      </c>
      <c r="I337" s="21" t="s">
        <v>53</v>
      </c>
      <c r="J337" s="21" t="s">
        <v>1972</v>
      </c>
      <c r="K337" s="21" t="s">
        <v>1972</v>
      </c>
      <c r="L337" s="21" t="s">
        <v>24</v>
      </c>
      <c r="M337" s="21">
        <v>-1</v>
      </c>
      <c r="N337" s="19">
        <v>79</v>
      </c>
      <c r="O337" s="19">
        <v>147</v>
      </c>
      <c r="P337" s="19">
        <v>113</v>
      </c>
      <c r="Q337" s="19">
        <v>-1</v>
      </c>
      <c r="R337" s="22" t="str">
        <f>IF(Cleaned_DS_jobs!$Q337&lt;10,"little_age_company",IF(AND(Cleaned_DS_jobs!$Q337&gt;=10,Cleaned_DS_jobs!$Q337&lt;=20),"average_age_company","Big_age_company"))</f>
        <v>little_age_company</v>
      </c>
    </row>
    <row r="338" spans="1:18" ht="19.95" customHeight="1" x14ac:dyDescent="0.3">
      <c r="A338" s="13" t="s">
        <v>26</v>
      </c>
      <c r="B338" s="14" t="s">
        <v>1717</v>
      </c>
      <c r="C338" s="14">
        <v>3.3</v>
      </c>
      <c r="D338" s="15" t="s">
        <v>2216</v>
      </c>
      <c r="E338" s="14" t="s">
        <v>1054</v>
      </c>
      <c r="F338" s="16" t="s">
        <v>1907</v>
      </c>
      <c r="G338" s="16" t="s">
        <v>66</v>
      </c>
      <c r="H338" s="14">
        <v>1880</v>
      </c>
      <c r="I338" s="16" t="s">
        <v>1055</v>
      </c>
      <c r="J338" s="16" t="s">
        <v>1056</v>
      </c>
      <c r="K338" s="16" t="s">
        <v>1057</v>
      </c>
      <c r="L338" s="16" t="s">
        <v>35</v>
      </c>
      <c r="M338" s="16" t="s">
        <v>1058</v>
      </c>
      <c r="N338" s="14">
        <v>79</v>
      </c>
      <c r="O338" s="14">
        <v>147</v>
      </c>
      <c r="P338" s="14">
        <v>113</v>
      </c>
      <c r="Q338" s="14">
        <v>146</v>
      </c>
      <c r="R338" s="17" t="str">
        <f>IF(Cleaned_DS_jobs!$Q338&lt;10,"little_age_company",IF(AND(Cleaned_DS_jobs!$Q338&gt;=10,Cleaned_DS_jobs!$Q338&lt;=20),"average_age_company","Big_age_company"))</f>
        <v>Big_age_company</v>
      </c>
    </row>
    <row r="339" spans="1:18" ht="19.95" customHeight="1" x14ac:dyDescent="0.3">
      <c r="A339" s="18" t="s">
        <v>26</v>
      </c>
      <c r="B339" s="19" t="s">
        <v>1717</v>
      </c>
      <c r="C339" s="19">
        <v>4.5999999999999996</v>
      </c>
      <c r="D339" s="20" t="s">
        <v>2217</v>
      </c>
      <c r="E339" s="19" t="s">
        <v>415</v>
      </c>
      <c r="F339" s="21" t="s">
        <v>1773</v>
      </c>
      <c r="G339" s="21" t="s">
        <v>46</v>
      </c>
      <c r="H339" s="19">
        <v>1999</v>
      </c>
      <c r="I339" s="21" t="s">
        <v>53</v>
      </c>
      <c r="J339" s="21" t="s">
        <v>175</v>
      </c>
      <c r="K339" s="21" t="s">
        <v>175</v>
      </c>
      <c r="L339" s="21" t="s">
        <v>41</v>
      </c>
      <c r="M339" s="21" t="s">
        <v>1061</v>
      </c>
      <c r="N339" s="19">
        <v>79</v>
      </c>
      <c r="O339" s="19">
        <v>147</v>
      </c>
      <c r="P339" s="19">
        <v>113</v>
      </c>
      <c r="Q339" s="19">
        <v>27</v>
      </c>
      <c r="R339" s="22" t="str">
        <f>IF(Cleaned_DS_jobs!$Q339&lt;10,"little_age_company",IF(AND(Cleaned_DS_jobs!$Q339&gt;=10,Cleaned_DS_jobs!$Q339&lt;=20),"average_age_company","Big_age_company"))</f>
        <v>Big_age_company</v>
      </c>
    </row>
    <row r="340" spans="1:18" ht="19.95" customHeight="1" x14ac:dyDescent="0.3">
      <c r="A340" s="13" t="s">
        <v>26</v>
      </c>
      <c r="B340" s="14" t="s">
        <v>1717</v>
      </c>
      <c r="C340" s="14">
        <v>-1</v>
      </c>
      <c r="D340" s="15" t="s">
        <v>1063</v>
      </c>
      <c r="E340" s="14" t="s">
        <v>143</v>
      </c>
      <c r="F340" s="16" t="s">
        <v>1908</v>
      </c>
      <c r="G340" s="16" t="s">
        <v>117</v>
      </c>
      <c r="H340" s="14">
        <v>-1</v>
      </c>
      <c r="I340" s="16" t="s">
        <v>53</v>
      </c>
      <c r="J340" s="16" t="s">
        <v>1972</v>
      </c>
      <c r="K340" s="16" t="s">
        <v>1972</v>
      </c>
      <c r="L340" s="16" t="s">
        <v>431</v>
      </c>
      <c r="M340" s="16">
        <v>-1</v>
      </c>
      <c r="N340" s="14">
        <v>79</v>
      </c>
      <c r="O340" s="14">
        <v>147</v>
      </c>
      <c r="P340" s="14">
        <v>113</v>
      </c>
      <c r="Q340" s="14">
        <v>-1</v>
      </c>
      <c r="R340" s="17" t="str">
        <f>IF(Cleaned_DS_jobs!$Q340&lt;10,"little_age_company",IF(AND(Cleaned_DS_jobs!$Q340&gt;=10,Cleaned_DS_jobs!$Q340&lt;=20),"average_age_company","Big_age_company"))</f>
        <v>little_age_company</v>
      </c>
    </row>
    <row r="341" spans="1:18" ht="19.95" customHeight="1" x14ac:dyDescent="0.3">
      <c r="A341" s="18" t="s">
        <v>221</v>
      </c>
      <c r="B341" s="19" t="s">
        <v>1717</v>
      </c>
      <c r="C341" s="19">
        <v>2.6</v>
      </c>
      <c r="D341" s="20" t="s">
        <v>2218</v>
      </c>
      <c r="E341" s="19" t="s">
        <v>914</v>
      </c>
      <c r="F341" s="21" t="s">
        <v>1882</v>
      </c>
      <c r="G341" s="21" t="s">
        <v>46</v>
      </c>
      <c r="H341" s="19">
        <v>1984</v>
      </c>
      <c r="I341" s="21" t="s">
        <v>1067</v>
      </c>
      <c r="J341" s="21" t="s">
        <v>1068</v>
      </c>
      <c r="K341" s="21" t="s">
        <v>1069</v>
      </c>
      <c r="L341" s="21" t="s">
        <v>24</v>
      </c>
      <c r="M341" s="21">
        <v>-1</v>
      </c>
      <c r="N341" s="19">
        <v>79</v>
      </c>
      <c r="O341" s="19">
        <v>147</v>
      </c>
      <c r="P341" s="19">
        <v>113</v>
      </c>
      <c r="Q341" s="19">
        <v>42</v>
      </c>
      <c r="R341" s="22" t="str">
        <f>IF(Cleaned_DS_jobs!$Q341&lt;10,"little_age_company",IF(AND(Cleaned_DS_jobs!$Q341&gt;=10,Cleaned_DS_jobs!$Q341&lt;=20),"average_age_company","Big_age_company"))</f>
        <v>Big_age_company</v>
      </c>
    </row>
    <row r="342" spans="1:18" ht="19.95" customHeight="1" x14ac:dyDescent="0.3">
      <c r="A342" s="13" t="s">
        <v>1070</v>
      </c>
      <c r="B342" s="14" t="s">
        <v>1717</v>
      </c>
      <c r="C342" s="14">
        <v>3.8</v>
      </c>
      <c r="D342" s="15" t="s">
        <v>2033</v>
      </c>
      <c r="E342" s="14" t="s">
        <v>300</v>
      </c>
      <c r="F342" s="16" t="s">
        <v>1787</v>
      </c>
      <c r="G342" s="16" t="s">
        <v>107</v>
      </c>
      <c r="H342" s="14">
        <v>1986</v>
      </c>
      <c r="I342" s="16" t="s">
        <v>301</v>
      </c>
      <c r="J342" s="16" t="s">
        <v>302</v>
      </c>
      <c r="K342" s="16" t="s">
        <v>48</v>
      </c>
      <c r="L342" s="16" t="s">
        <v>41</v>
      </c>
      <c r="M342" s="16" t="s">
        <v>303</v>
      </c>
      <c r="N342" s="14">
        <v>79</v>
      </c>
      <c r="O342" s="14">
        <v>147</v>
      </c>
      <c r="P342" s="14">
        <v>113</v>
      </c>
      <c r="Q342" s="14">
        <v>40</v>
      </c>
      <c r="R342" s="17" t="str">
        <f>IF(Cleaned_DS_jobs!$Q342&lt;10,"little_age_company",IF(AND(Cleaned_DS_jobs!$Q342&gt;=10,Cleaned_DS_jobs!$Q342&lt;=20),"average_age_company","Big_age_company"))</f>
        <v>Big_age_company</v>
      </c>
    </row>
    <row r="343" spans="1:18" ht="19.95" customHeight="1" x14ac:dyDescent="0.3">
      <c r="A343" s="18" t="s">
        <v>26</v>
      </c>
      <c r="B343" s="19" t="s">
        <v>1717</v>
      </c>
      <c r="C343" s="19">
        <v>4.8</v>
      </c>
      <c r="D343" s="20" t="s">
        <v>2219</v>
      </c>
      <c r="E343" s="19" t="s">
        <v>19</v>
      </c>
      <c r="F343" s="21" t="s">
        <v>1909</v>
      </c>
      <c r="G343" s="21" t="s">
        <v>117</v>
      </c>
      <c r="H343" s="19">
        <v>2011</v>
      </c>
      <c r="I343" s="21" t="s">
        <v>53</v>
      </c>
      <c r="J343" s="21" t="s">
        <v>92</v>
      </c>
      <c r="K343" s="21" t="s">
        <v>60</v>
      </c>
      <c r="L343" s="21" t="s">
        <v>24</v>
      </c>
      <c r="M343" s="21">
        <v>-1</v>
      </c>
      <c r="N343" s="19">
        <v>79</v>
      </c>
      <c r="O343" s="19">
        <v>147</v>
      </c>
      <c r="P343" s="19">
        <v>113</v>
      </c>
      <c r="Q343" s="19">
        <v>15</v>
      </c>
      <c r="R343" s="22" t="str">
        <f>IF(Cleaned_DS_jobs!$Q343&lt;10,"little_age_company",IF(AND(Cleaned_DS_jobs!$Q343&gt;=10,Cleaned_DS_jobs!$Q343&lt;=20),"average_age_company","Big_age_company"))</f>
        <v>average_age_company</v>
      </c>
    </row>
    <row r="344" spans="1:18" ht="19.95" customHeight="1" x14ac:dyDescent="0.3">
      <c r="A344" s="13" t="s">
        <v>1687</v>
      </c>
      <c r="B344" s="14" t="s">
        <v>1717</v>
      </c>
      <c r="C344" s="14">
        <v>3.9</v>
      </c>
      <c r="D344" s="15" t="s">
        <v>2220</v>
      </c>
      <c r="E344" s="14" t="s">
        <v>19</v>
      </c>
      <c r="F344" s="16" t="s">
        <v>1744</v>
      </c>
      <c r="G344" s="16" t="s">
        <v>52</v>
      </c>
      <c r="H344" s="14">
        <v>2012</v>
      </c>
      <c r="I344" s="16" t="s">
        <v>53</v>
      </c>
      <c r="J344" s="16" t="s">
        <v>33</v>
      </c>
      <c r="K344" s="16" t="s">
        <v>34</v>
      </c>
      <c r="L344" s="16" t="s">
        <v>24</v>
      </c>
      <c r="M344" s="16">
        <v>-1</v>
      </c>
      <c r="N344" s="14">
        <v>79</v>
      </c>
      <c r="O344" s="14">
        <v>147</v>
      </c>
      <c r="P344" s="14">
        <v>113</v>
      </c>
      <c r="Q344" s="14">
        <v>14</v>
      </c>
      <c r="R344" s="17" t="str">
        <f>IF(Cleaned_DS_jobs!$Q344&lt;10,"little_age_company",IF(AND(Cleaned_DS_jobs!$Q344&gt;=10,Cleaned_DS_jobs!$Q344&lt;=20),"average_age_company","Big_age_company"))</f>
        <v>average_age_company</v>
      </c>
    </row>
    <row r="345" spans="1:18" ht="19.95" customHeight="1" x14ac:dyDescent="0.3">
      <c r="A345" s="18" t="s">
        <v>26</v>
      </c>
      <c r="B345" s="19" t="s">
        <v>1718</v>
      </c>
      <c r="C345" s="19">
        <v>4</v>
      </c>
      <c r="D345" s="20" t="s">
        <v>2023</v>
      </c>
      <c r="E345" s="19" t="s">
        <v>258</v>
      </c>
      <c r="F345" s="21" t="s">
        <v>1781</v>
      </c>
      <c r="G345" s="21" t="s">
        <v>46</v>
      </c>
      <c r="H345" s="19">
        <v>2012</v>
      </c>
      <c r="I345" s="21" t="s">
        <v>53</v>
      </c>
      <c r="J345" s="21" t="s">
        <v>84</v>
      </c>
      <c r="K345" s="21" t="s">
        <v>60</v>
      </c>
      <c r="L345" s="21" t="s">
        <v>24</v>
      </c>
      <c r="M345" s="21" t="s">
        <v>259</v>
      </c>
      <c r="N345" s="19">
        <v>122</v>
      </c>
      <c r="O345" s="19">
        <v>146</v>
      </c>
      <c r="P345" s="19">
        <v>134</v>
      </c>
      <c r="Q345" s="19">
        <v>14</v>
      </c>
      <c r="R345" s="22" t="str">
        <f>IF(Cleaned_DS_jobs!$Q345&lt;10,"little_age_company",IF(AND(Cleaned_DS_jobs!$Q345&gt;=10,Cleaned_DS_jobs!$Q345&lt;=20),"average_age_company","Big_age_company"))</f>
        <v>average_age_company</v>
      </c>
    </row>
    <row r="346" spans="1:18" ht="19.95" customHeight="1" x14ac:dyDescent="0.3">
      <c r="A346" s="13" t="s">
        <v>26</v>
      </c>
      <c r="B346" s="14" t="s">
        <v>1718</v>
      </c>
      <c r="C346" s="14">
        <v>4.2</v>
      </c>
      <c r="D346" s="15" t="s">
        <v>2015</v>
      </c>
      <c r="E346" s="14" t="s">
        <v>236</v>
      </c>
      <c r="F346" s="16" t="s">
        <v>1777</v>
      </c>
      <c r="G346" s="16" t="s">
        <v>52</v>
      </c>
      <c r="H346" s="14">
        <v>2013</v>
      </c>
      <c r="I346" s="16" t="s">
        <v>53</v>
      </c>
      <c r="J346" s="16" t="s">
        <v>84</v>
      </c>
      <c r="K346" s="16" t="s">
        <v>60</v>
      </c>
      <c r="L346" s="16" t="s">
        <v>160</v>
      </c>
      <c r="M346" s="16">
        <v>-1</v>
      </c>
      <c r="N346" s="14">
        <v>122</v>
      </c>
      <c r="O346" s="14">
        <v>146</v>
      </c>
      <c r="P346" s="14">
        <v>134</v>
      </c>
      <c r="Q346" s="14">
        <v>13</v>
      </c>
      <c r="R346" s="17" t="str">
        <f>IF(Cleaned_DS_jobs!$Q346&lt;10,"little_age_company",IF(AND(Cleaned_DS_jobs!$Q346&gt;=10,Cleaned_DS_jobs!$Q346&lt;=20),"average_age_company","Big_age_company"))</f>
        <v>average_age_company</v>
      </c>
    </row>
    <row r="347" spans="1:18" ht="19.95" customHeight="1" x14ac:dyDescent="0.3">
      <c r="A347" s="18" t="s">
        <v>734</v>
      </c>
      <c r="B347" s="19" t="s">
        <v>1718</v>
      </c>
      <c r="C347" s="19">
        <v>3.7</v>
      </c>
      <c r="D347" s="20" t="s">
        <v>2135</v>
      </c>
      <c r="E347" s="19" t="s">
        <v>737</v>
      </c>
      <c r="F347" s="21" t="s">
        <v>1853</v>
      </c>
      <c r="G347" s="21" t="s">
        <v>20</v>
      </c>
      <c r="H347" s="19">
        <v>1999</v>
      </c>
      <c r="I347" s="21" t="s">
        <v>32</v>
      </c>
      <c r="J347" s="21" t="s">
        <v>738</v>
      </c>
      <c r="K347" s="21" t="s">
        <v>48</v>
      </c>
      <c r="L347" s="21" t="s">
        <v>41</v>
      </c>
      <c r="M347" s="21">
        <v>-1</v>
      </c>
      <c r="N347" s="19">
        <v>122</v>
      </c>
      <c r="O347" s="19">
        <v>146</v>
      </c>
      <c r="P347" s="19">
        <v>134</v>
      </c>
      <c r="Q347" s="19">
        <v>27</v>
      </c>
      <c r="R347" s="22" t="str">
        <f>IF(Cleaned_DS_jobs!$Q347&lt;10,"little_age_company",IF(AND(Cleaned_DS_jobs!$Q347&gt;=10,Cleaned_DS_jobs!$Q347&lt;=20),"average_age_company","Big_age_company"))</f>
        <v>Big_age_company</v>
      </c>
    </row>
    <row r="348" spans="1:18" ht="19.95" customHeight="1" x14ac:dyDescent="0.3">
      <c r="A348" s="13" t="s">
        <v>26</v>
      </c>
      <c r="B348" s="14" t="s">
        <v>1718</v>
      </c>
      <c r="C348" s="14">
        <v>3</v>
      </c>
      <c r="D348" s="15" t="s">
        <v>2221</v>
      </c>
      <c r="E348" s="14" t="s">
        <v>647</v>
      </c>
      <c r="F348" s="16" t="s">
        <v>1772</v>
      </c>
      <c r="G348" s="16" t="s">
        <v>20</v>
      </c>
      <c r="H348" s="14">
        <v>1887</v>
      </c>
      <c r="I348" s="16" t="s">
        <v>53</v>
      </c>
      <c r="J348" s="16" t="s">
        <v>291</v>
      </c>
      <c r="K348" s="16" t="s">
        <v>23</v>
      </c>
      <c r="L348" s="16" t="s">
        <v>79</v>
      </c>
      <c r="M348" s="16">
        <v>-1</v>
      </c>
      <c r="N348" s="14">
        <v>122</v>
      </c>
      <c r="O348" s="14">
        <v>146</v>
      </c>
      <c r="P348" s="14">
        <v>134</v>
      </c>
      <c r="Q348" s="14">
        <v>139</v>
      </c>
      <c r="R348" s="17" t="str">
        <f>IF(Cleaned_DS_jobs!$Q348&lt;10,"little_age_company",IF(AND(Cleaned_DS_jobs!$Q348&gt;=10,Cleaned_DS_jobs!$Q348&lt;=20),"average_age_company","Big_age_company"))</f>
        <v>Big_age_company</v>
      </c>
    </row>
    <row r="349" spans="1:18" ht="19.95" customHeight="1" x14ac:dyDescent="0.3">
      <c r="A349" s="18" t="s">
        <v>1081</v>
      </c>
      <c r="B349" s="19" t="s">
        <v>1718</v>
      </c>
      <c r="C349" s="19">
        <v>3.5</v>
      </c>
      <c r="D349" s="20" t="s">
        <v>2222</v>
      </c>
      <c r="E349" s="19" t="s">
        <v>693</v>
      </c>
      <c r="F349" s="21" t="s">
        <v>1847</v>
      </c>
      <c r="G349" s="21" t="s">
        <v>66</v>
      </c>
      <c r="H349" s="19">
        <v>1970</v>
      </c>
      <c r="I349" s="21" t="s">
        <v>32</v>
      </c>
      <c r="J349" s="21" t="s">
        <v>59</v>
      </c>
      <c r="K349" s="21" t="s">
        <v>60</v>
      </c>
      <c r="L349" s="21" t="s">
        <v>68</v>
      </c>
      <c r="M349" s="21" t="s">
        <v>1084</v>
      </c>
      <c r="N349" s="19">
        <v>122</v>
      </c>
      <c r="O349" s="19">
        <v>146</v>
      </c>
      <c r="P349" s="19">
        <v>134</v>
      </c>
      <c r="Q349" s="19">
        <v>56</v>
      </c>
      <c r="R349" s="22" t="str">
        <f>IF(Cleaned_DS_jobs!$Q349&lt;10,"little_age_company",IF(AND(Cleaned_DS_jobs!$Q349&gt;=10,Cleaned_DS_jobs!$Q349&lt;=20),"average_age_company","Big_age_company"))</f>
        <v>Big_age_company</v>
      </c>
    </row>
    <row r="350" spans="1:18" ht="19.95" customHeight="1" x14ac:dyDescent="0.3">
      <c r="A350" s="13" t="s">
        <v>26</v>
      </c>
      <c r="B350" s="14" t="s">
        <v>1718</v>
      </c>
      <c r="C350" s="14">
        <v>2.9</v>
      </c>
      <c r="D350" s="15" t="s">
        <v>2223</v>
      </c>
      <c r="E350" s="14" t="s">
        <v>258</v>
      </c>
      <c r="F350" s="16" t="s">
        <v>1910</v>
      </c>
      <c r="G350" s="16" t="s">
        <v>117</v>
      </c>
      <c r="H350" s="14">
        <v>-1</v>
      </c>
      <c r="I350" s="16" t="s">
        <v>53</v>
      </c>
      <c r="J350" s="16" t="s">
        <v>1972</v>
      </c>
      <c r="K350" s="16" t="s">
        <v>1972</v>
      </c>
      <c r="L350" s="16" t="s">
        <v>212</v>
      </c>
      <c r="M350" s="16">
        <v>-1</v>
      </c>
      <c r="N350" s="14">
        <v>122</v>
      </c>
      <c r="O350" s="14">
        <v>146</v>
      </c>
      <c r="P350" s="14">
        <v>134</v>
      </c>
      <c r="Q350" s="14">
        <v>-1</v>
      </c>
      <c r="R350" s="17" t="str">
        <f>IF(Cleaned_DS_jobs!$Q350&lt;10,"little_age_company",IF(AND(Cleaned_DS_jobs!$Q350&gt;=10,Cleaned_DS_jobs!$Q350&lt;=20),"average_age_company","Big_age_company"))</f>
        <v>little_age_company</v>
      </c>
    </row>
    <row r="351" spans="1:18" ht="19.95" customHeight="1" x14ac:dyDescent="0.3">
      <c r="A351" s="18" t="s">
        <v>26</v>
      </c>
      <c r="B351" s="19" t="s">
        <v>1718</v>
      </c>
      <c r="C351" s="19">
        <v>5</v>
      </c>
      <c r="D351" s="20" t="s">
        <v>2224</v>
      </c>
      <c r="E351" s="19" t="s">
        <v>19</v>
      </c>
      <c r="F351" s="21" t="s">
        <v>1744</v>
      </c>
      <c r="G351" s="21" t="s">
        <v>117</v>
      </c>
      <c r="H351" s="19">
        <v>2014</v>
      </c>
      <c r="I351" s="21" t="s">
        <v>53</v>
      </c>
      <c r="J351" s="21" t="s">
        <v>286</v>
      </c>
      <c r="K351" s="21" t="s">
        <v>34</v>
      </c>
      <c r="L351" s="21" t="s">
        <v>24</v>
      </c>
      <c r="M351" s="21">
        <v>-1</v>
      </c>
      <c r="N351" s="19">
        <v>122</v>
      </c>
      <c r="O351" s="19">
        <v>146</v>
      </c>
      <c r="P351" s="19">
        <v>134</v>
      </c>
      <c r="Q351" s="19">
        <v>12</v>
      </c>
      <c r="R351" s="22" t="str">
        <f>IF(Cleaned_DS_jobs!$Q351&lt;10,"little_age_company",IF(AND(Cleaned_DS_jobs!$Q351&gt;=10,Cleaned_DS_jobs!$Q351&lt;=20),"average_age_company","Big_age_company"))</f>
        <v>average_age_company</v>
      </c>
    </row>
    <row r="352" spans="1:18" ht="19.95" customHeight="1" x14ac:dyDescent="0.3">
      <c r="A352" s="13" t="s">
        <v>26</v>
      </c>
      <c r="B352" s="14" t="s">
        <v>1718</v>
      </c>
      <c r="C352" s="14">
        <v>4.7</v>
      </c>
      <c r="D352" s="15" t="s">
        <v>2225</v>
      </c>
      <c r="E352" s="14" t="s">
        <v>29</v>
      </c>
      <c r="F352" s="16" t="s">
        <v>1817</v>
      </c>
      <c r="G352" s="16" t="s">
        <v>107</v>
      </c>
      <c r="H352" s="14">
        <v>2002</v>
      </c>
      <c r="I352" s="16" t="s">
        <v>301</v>
      </c>
      <c r="J352" s="16" t="s">
        <v>59</v>
      </c>
      <c r="K352" s="16" t="s">
        <v>60</v>
      </c>
      <c r="L352" s="16" t="s">
        <v>41</v>
      </c>
      <c r="M352" s="16" t="s">
        <v>1092</v>
      </c>
      <c r="N352" s="14">
        <v>122</v>
      </c>
      <c r="O352" s="14">
        <v>146</v>
      </c>
      <c r="P352" s="14">
        <v>134</v>
      </c>
      <c r="Q352" s="14">
        <v>24</v>
      </c>
      <c r="R352" s="17" t="str">
        <f>IF(Cleaned_DS_jobs!$Q352&lt;10,"little_age_company",IF(AND(Cleaned_DS_jobs!$Q352&gt;=10,Cleaned_DS_jobs!$Q352&lt;=20),"average_age_company","Big_age_company"))</f>
        <v>Big_age_company</v>
      </c>
    </row>
    <row r="353" spans="1:18" ht="19.95" customHeight="1" x14ac:dyDescent="0.3">
      <c r="A353" s="18" t="s">
        <v>26</v>
      </c>
      <c r="B353" s="19" t="s">
        <v>1718</v>
      </c>
      <c r="C353" s="19">
        <v>-1</v>
      </c>
      <c r="D353" s="20" t="s">
        <v>1094</v>
      </c>
      <c r="E353" s="19" t="s">
        <v>236</v>
      </c>
      <c r="F353" s="21">
        <v>-1</v>
      </c>
      <c r="G353" s="21" t="s">
        <v>1972</v>
      </c>
      <c r="H353" s="19">
        <v>-1</v>
      </c>
      <c r="I353" s="21" t="s">
        <v>1972</v>
      </c>
      <c r="J353" s="21" t="s">
        <v>1972</v>
      </c>
      <c r="K353" s="21" t="s">
        <v>1972</v>
      </c>
      <c r="L353" s="21" t="s">
        <v>1972</v>
      </c>
      <c r="M353" s="21">
        <v>-1</v>
      </c>
      <c r="N353" s="19">
        <v>122</v>
      </c>
      <c r="O353" s="19">
        <v>146</v>
      </c>
      <c r="P353" s="19">
        <v>134</v>
      </c>
      <c r="Q353" s="19">
        <v>-1</v>
      </c>
      <c r="R353" s="22" t="str">
        <f>IF(Cleaned_DS_jobs!$Q353&lt;10,"little_age_company",IF(AND(Cleaned_DS_jobs!$Q353&gt;=10,Cleaned_DS_jobs!$Q353&lt;=20),"average_age_company","Big_age_company"))</f>
        <v>little_age_company</v>
      </c>
    </row>
    <row r="354" spans="1:18" ht="19.95" customHeight="1" x14ac:dyDescent="0.3">
      <c r="A354" s="13" t="s">
        <v>1095</v>
      </c>
      <c r="B354" s="14" t="s">
        <v>1718</v>
      </c>
      <c r="C354" s="14">
        <v>4.5</v>
      </c>
      <c r="D354" s="15" t="s">
        <v>2226</v>
      </c>
      <c r="E354" s="14" t="s">
        <v>1098</v>
      </c>
      <c r="F354" s="16" t="s">
        <v>1911</v>
      </c>
      <c r="G354" s="16" t="s">
        <v>31</v>
      </c>
      <c r="H354" s="14">
        <v>1942</v>
      </c>
      <c r="I354" s="16" t="s">
        <v>21</v>
      </c>
      <c r="J354" s="16" t="s">
        <v>175</v>
      </c>
      <c r="K354" s="16" t="s">
        <v>175</v>
      </c>
      <c r="L354" s="16" t="s">
        <v>35</v>
      </c>
      <c r="M354" s="16" t="s">
        <v>1099</v>
      </c>
      <c r="N354" s="14">
        <v>122</v>
      </c>
      <c r="O354" s="14">
        <v>146</v>
      </c>
      <c r="P354" s="14">
        <v>134</v>
      </c>
      <c r="Q354" s="14">
        <v>84</v>
      </c>
      <c r="R354" s="17" t="str">
        <f>IF(Cleaned_DS_jobs!$Q354&lt;10,"little_age_company",IF(AND(Cleaned_DS_jobs!$Q354&gt;=10,Cleaned_DS_jobs!$Q354&lt;=20),"average_age_company","Big_age_company"))</f>
        <v>Big_age_company</v>
      </c>
    </row>
    <row r="355" spans="1:18" ht="19.95" customHeight="1" x14ac:dyDescent="0.3">
      <c r="A355" s="18" t="s">
        <v>26</v>
      </c>
      <c r="B355" s="19" t="s">
        <v>1718</v>
      </c>
      <c r="C355" s="19">
        <v>4.9000000000000004</v>
      </c>
      <c r="D355" s="20" t="s">
        <v>2227</v>
      </c>
      <c r="E355" s="19" t="s">
        <v>64</v>
      </c>
      <c r="F355" s="21" t="s">
        <v>1779</v>
      </c>
      <c r="G355" s="21" t="s">
        <v>117</v>
      </c>
      <c r="H355" s="19">
        <v>2010</v>
      </c>
      <c r="I355" s="21" t="s">
        <v>53</v>
      </c>
      <c r="J355" s="21" t="s">
        <v>84</v>
      </c>
      <c r="K355" s="21" t="s">
        <v>60</v>
      </c>
      <c r="L355" s="21" t="s">
        <v>24</v>
      </c>
      <c r="M355" s="21">
        <v>-1</v>
      </c>
      <c r="N355" s="19">
        <v>122</v>
      </c>
      <c r="O355" s="19">
        <v>146</v>
      </c>
      <c r="P355" s="19">
        <v>134</v>
      </c>
      <c r="Q355" s="19">
        <v>16</v>
      </c>
      <c r="R355" s="22" t="str">
        <f>IF(Cleaned_DS_jobs!$Q355&lt;10,"little_age_company",IF(AND(Cleaned_DS_jobs!$Q355&gt;=10,Cleaned_DS_jobs!$Q355&lt;=20),"average_age_company","Big_age_company"))</f>
        <v>average_age_company</v>
      </c>
    </row>
    <row r="356" spans="1:18" ht="19.95" customHeight="1" x14ac:dyDescent="0.3">
      <c r="A356" s="13" t="s">
        <v>1102</v>
      </c>
      <c r="B356" s="14" t="s">
        <v>1718</v>
      </c>
      <c r="C356" s="14">
        <v>4.5999999999999996</v>
      </c>
      <c r="D356" s="15" t="s">
        <v>2228</v>
      </c>
      <c r="E356" s="14" t="s">
        <v>1105</v>
      </c>
      <c r="F356" s="16" t="s">
        <v>1912</v>
      </c>
      <c r="G356" s="16" t="s">
        <v>52</v>
      </c>
      <c r="H356" s="14">
        <v>2002</v>
      </c>
      <c r="I356" s="16" t="s">
        <v>53</v>
      </c>
      <c r="J356" s="16" t="s">
        <v>40</v>
      </c>
      <c r="K356" s="16" t="s">
        <v>34</v>
      </c>
      <c r="L356" s="16" t="s">
        <v>24</v>
      </c>
      <c r="M356" s="16">
        <v>-1</v>
      </c>
      <c r="N356" s="14">
        <v>122</v>
      </c>
      <c r="O356" s="14">
        <v>146</v>
      </c>
      <c r="P356" s="14">
        <v>134</v>
      </c>
      <c r="Q356" s="14">
        <v>24</v>
      </c>
      <c r="R356" s="17" t="str">
        <f>IF(Cleaned_DS_jobs!$Q356&lt;10,"little_age_company",IF(AND(Cleaned_DS_jobs!$Q356&gt;=10,Cleaned_DS_jobs!$Q356&lt;=20),"average_age_company","Big_age_company"))</f>
        <v>Big_age_company</v>
      </c>
    </row>
    <row r="357" spans="1:18" ht="19.95" customHeight="1" x14ac:dyDescent="0.3">
      <c r="A357" s="18" t="s">
        <v>1678</v>
      </c>
      <c r="B357" s="19" t="s">
        <v>1718</v>
      </c>
      <c r="C357" s="19">
        <v>5</v>
      </c>
      <c r="D357" s="20" t="s">
        <v>2137</v>
      </c>
      <c r="E357" s="19" t="s">
        <v>485</v>
      </c>
      <c r="F357" s="21" t="s">
        <v>1855</v>
      </c>
      <c r="G357" s="21" t="s">
        <v>117</v>
      </c>
      <c r="H357" s="19">
        <v>2011</v>
      </c>
      <c r="I357" s="21" t="s">
        <v>53</v>
      </c>
      <c r="J357" s="21" t="s">
        <v>92</v>
      </c>
      <c r="K357" s="21" t="s">
        <v>60</v>
      </c>
      <c r="L357" s="21" t="s">
        <v>212</v>
      </c>
      <c r="M357" s="21">
        <v>-1</v>
      </c>
      <c r="N357" s="19">
        <v>122</v>
      </c>
      <c r="O357" s="19">
        <v>146</v>
      </c>
      <c r="P357" s="19">
        <v>134</v>
      </c>
      <c r="Q357" s="19">
        <v>15</v>
      </c>
      <c r="R357" s="22" t="str">
        <f>IF(Cleaned_DS_jobs!$Q357&lt;10,"little_age_company",IF(AND(Cleaned_DS_jobs!$Q357&gt;=10,Cleaned_DS_jobs!$Q357&lt;=20),"average_age_company","Big_age_company"))</f>
        <v>average_age_company</v>
      </c>
    </row>
    <row r="358" spans="1:18" ht="19.95" customHeight="1" x14ac:dyDescent="0.3">
      <c r="A358" s="13" t="s">
        <v>218</v>
      </c>
      <c r="B358" s="14" t="s">
        <v>1718</v>
      </c>
      <c r="C358" s="14">
        <v>3.9</v>
      </c>
      <c r="D358" s="15" t="s">
        <v>2229</v>
      </c>
      <c r="E358" s="14" t="s">
        <v>179</v>
      </c>
      <c r="F358" s="16" t="s">
        <v>1782</v>
      </c>
      <c r="G358" s="16" t="s">
        <v>52</v>
      </c>
      <c r="H358" s="14">
        <v>2012</v>
      </c>
      <c r="I358" s="16" t="s">
        <v>32</v>
      </c>
      <c r="J358" s="16" t="s">
        <v>40</v>
      </c>
      <c r="K358" s="16" t="s">
        <v>34</v>
      </c>
      <c r="L358" s="16" t="s">
        <v>212</v>
      </c>
      <c r="M358" s="16">
        <v>-1</v>
      </c>
      <c r="N358" s="14">
        <v>122</v>
      </c>
      <c r="O358" s="14">
        <v>146</v>
      </c>
      <c r="P358" s="14">
        <v>134</v>
      </c>
      <c r="Q358" s="14">
        <v>14</v>
      </c>
      <c r="R358" s="17" t="str">
        <f>IF(Cleaned_DS_jobs!$Q358&lt;10,"little_age_company",IF(AND(Cleaned_DS_jobs!$Q358&gt;=10,Cleaned_DS_jobs!$Q358&lt;=20),"average_age_company","Big_age_company"))</f>
        <v>average_age_company</v>
      </c>
    </row>
    <row r="359" spans="1:18" ht="19.95" customHeight="1" x14ac:dyDescent="0.3">
      <c r="A359" s="18" t="s">
        <v>26</v>
      </c>
      <c r="B359" s="19" t="s">
        <v>1718</v>
      </c>
      <c r="C359" s="19">
        <v>-1</v>
      </c>
      <c r="D359" s="20" t="s">
        <v>1109</v>
      </c>
      <c r="E359" s="19" t="s">
        <v>143</v>
      </c>
      <c r="F359" s="21">
        <v>-1</v>
      </c>
      <c r="G359" s="21" t="s">
        <v>1972</v>
      </c>
      <c r="H359" s="19">
        <v>-1</v>
      </c>
      <c r="I359" s="21" t="s">
        <v>1972</v>
      </c>
      <c r="J359" s="21" t="s">
        <v>1972</v>
      </c>
      <c r="K359" s="21" t="s">
        <v>1972</v>
      </c>
      <c r="L359" s="21" t="s">
        <v>1972</v>
      </c>
      <c r="M359" s="21">
        <v>-1</v>
      </c>
      <c r="N359" s="19">
        <v>122</v>
      </c>
      <c r="O359" s="19">
        <v>146</v>
      </c>
      <c r="P359" s="19">
        <v>134</v>
      </c>
      <c r="Q359" s="19">
        <v>-1</v>
      </c>
      <c r="R359" s="22" t="str">
        <f>IF(Cleaned_DS_jobs!$Q359&lt;10,"little_age_company",IF(AND(Cleaned_DS_jobs!$Q359&gt;=10,Cleaned_DS_jobs!$Q359&lt;=20),"average_age_company","Big_age_company"))</f>
        <v>little_age_company</v>
      </c>
    </row>
    <row r="360" spans="1:18" ht="19.95" customHeight="1" x14ac:dyDescent="0.3">
      <c r="A360" s="13" t="s">
        <v>26</v>
      </c>
      <c r="B360" s="14" t="s">
        <v>1718</v>
      </c>
      <c r="C360" s="14">
        <v>-1</v>
      </c>
      <c r="D360" s="15" t="s">
        <v>1109</v>
      </c>
      <c r="E360" s="14" t="s">
        <v>143</v>
      </c>
      <c r="F360" s="16">
        <v>-1</v>
      </c>
      <c r="G360" s="16" t="s">
        <v>1972</v>
      </c>
      <c r="H360" s="14">
        <v>-1</v>
      </c>
      <c r="I360" s="16" t="s">
        <v>1972</v>
      </c>
      <c r="J360" s="16" t="s">
        <v>1972</v>
      </c>
      <c r="K360" s="16" t="s">
        <v>1972</v>
      </c>
      <c r="L360" s="16" t="s">
        <v>1972</v>
      </c>
      <c r="M360" s="16">
        <v>-1</v>
      </c>
      <c r="N360" s="14">
        <v>122</v>
      </c>
      <c r="O360" s="14">
        <v>146</v>
      </c>
      <c r="P360" s="14">
        <v>134</v>
      </c>
      <c r="Q360" s="14">
        <v>-1</v>
      </c>
      <c r="R360" s="17" t="str">
        <f>IF(Cleaned_DS_jobs!$Q360&lt;10,"little_age_company",IF(AND(Cleaned_DS_jobs!$Q360&gt;=10,Cleaned_DS_jobs!$Q360&lt;=20),"average_age_company","Big_age_company"))</f>
        <v>little_age_company</v>
      </c>
    </row>
    <row r="361" spans="1:18" ht="19.95" customHeight="1" x14ac:dyDescent="0.3">
      <c r="A361" s="18" t="s">
        <v>26</v>
      </c>
      <c r="B361" s="19" t="s">
        <v>1718</v>
      </c>
      <c r="C361" s="19">
        <v>-1</v>
      </c>
      <c r="D361" s="20" t="s">
        <v>1109</v>
      </c>
      <c r="E361" s="19" t="s">
        <v>143</v>
      </c>
      <c r="F361" s="21">
        <v>-1</v>
      </c>
      <c r="G361" s="21" t="s">
        <v>1972</v>
      </c>
      <c r="H361" s="19">
        <v>-1</v>
      </c>
      <c r="I361" s="21" t="s">
        <v>1972</v>
      </c>
      <c r="J361" s="21" t="s">
        <v>1972</v>
      </c>
      <c r="K361" s="21" t="s">
        <v>1972</v>
      </c>
      <c r="L361" s="21" t="s">
        <v>1972</v>
      </c>
      <c r="M361" s="21">
        <v>-1</v>
      </c>
      <c r="N361" s="19">
        <v>122</v>
      </c>
      <c r="O361" s="19">
        <v>146</v>
      </c>
      <c r="P361" s="19">
        <v>134</v>
      </c>
      <c r="Q361" s="19">
        <v>-1</v>
      </c>
      <c r="R361" s="22" t="str">
        <f>IF(Cleaned_DS_jobs!$Q361&lt;10,"little_age_company",IF(AND(Cleaned_DS_jobs!$Q361&gt;=10,Cleaned_DS_jobs!$Q361&lt;=20),"average_age_company","Big_age_company"))</f>
        <v>little_age_company</v>
      </c>
    </row>
    <row r="362" spans="1:18" ht="19.95" customHeight="1" x14ac:dyDescent="0.3">
      <c r="A362" s="13" t="s">
        <v>26</v>
      </c>
      <c r="B362" s="14" t="s">
        <v>1718</v>
      </c>
      <c r="C362" s="14">
        <v>-1</v>
      </c>
      <c r="D362" s="15" t="s">
        <v>1109</v>
      </c>
      <c r="E362" s="14" t="s">
        <v>143</v>
      </c>
      <c r="F362" s="16">
        <v>-1</v>
      </c>
      <c r="G362" s="16" t="s">
        <v>1972</v>
      </c>
      <c r="H362" s="14">
        <v>-1</v>
      </c>
      <c r="I362" s="16" t="s">
        <v>1972</v>
      </c>
      <c r="J362" s="16" t="s">
        <v>1972</v>
      </c>
      <c r="K362" s="16" t="s">
        <v>1972</v>
      </c>
      <c r="L362" s="16" t="s">
        <v>1972</v>
      </c>
      <c r="M362" s="16">
        <v>-1</v>
      </c>
      <c r="N362" s="14">
        <v>122</v>
      </c>
      <c r="O362" s="14">
        <v>146</v>
      </c>
      <c r="P362" s="14">
        <v>134</v>
      </c>
      <c r="Q362" s="14">
        <v>-1</v>
      </c>
      <c r="R362" s="17" t="str">
        <f>IF(Cleaned_DS_jobs!$Q362&lt;10,"little_age_company",IF(AND(Cleaned_DS_jobs!$Q362&gt;=10,Cleaned_DS_jobs!$Q362&lt;=20),"average_age_company","Big_age_company"))</f>
        <v>little_age_company</v>
      </c>
    </row>
    <row r="363" spans="1:18" ht="19.95" customHeight="1" x14ac:dyDescent="0.3">
      <c r="A363" s="18" t="s">
        <v>26</v>
      </c>
      <c r="B363" s="19" t="s">
        <v>1718</v>
      </c>
      <c r="C363" s="19">
        <v>-1</v>
      </c>
      <c r="D363" s="20" t="s">
        <v>1109</v>
      </c>
      <c r="E363" s="19" t="s">
        <v>143</v>
      </c>
      <c r="F363" s="21">
        <v>-1</v>
      </c>
      <c r="G363" s="21" t="s">
        <v>1972</v>
      </c>
      <c r="H363" s="19">
        <v>-1</v>
      </c>
      <c r="I363" s="21" t="s">
        <v>1972</v>
      </c>
      <c r="J363" s="21" t="s">
        <v>1972</v>
      </c>
      <c r="K363" s="21" t="s">
        <v>1972</v>
      </c>
      <c r="L363" s="21" t="s">
        <v>1972</v>
      </c>
      <c r="M363" s="21">
        <v>-1</v>
      </c>
      <c r="N363" s="19">
        <v>122</v>
      </c>
      <c r="O363" s="19">
        <v>146</v>
      </c>
      <c r="P363" s="19">
        <v>134</v>
      </c>
      <c r="Q363" s="19">
        <v>-1</v>
      </c>
      <c r="R363" s="22" t="str">
        <f>IF(Cleaned_DS_jobs!$Q363&lt;10,"little_age_company",IF(AND(Cleaned_DS_jobs!$Q363&gt;=10,Cleaned_DS_jobs!$Q363&lt;=20),"average_age_company","Big_age_company"))</f>
        <v>little_age_company</v>
      </c>
    </row>
    <row r="364" spans="1:18" ht="19.95" customHeight="1" x14ac:dyDescent="0.3">
      <c r="A364" s="13" t="s">
        <v>26</v>
      </c>
      <c r="B364" s="14" t="s">
        <v>1718</v>
      </c>
      <c r="C364" s="14">
        <v>-1</v>
      </c>
      <c r="D364" s="15" t="s">
        <v>1109</v>
      </c>
      <c r="E364" s="14" t="s">
        <v>143</v>
      </c>
      <c r="F364" s="16">
        <v>-1</v>
      </c>
      <c r="G364" s="16" t="s">
        <v>1972</v>
      </c>
      <c r="H364" s="14">
        <v>-1</v>
      </c>
      <c r="I364" s="16" t="s">
        <v>1972</v>
      </c>
      <c r="J364" s="16" t="s">
        <v>1972</v>
      </c>
      <c r="K364" s="16" t="s">
        <v>1972</v>
      </c>
      <c r="L364" s="16" t="s">
        <v>1972</v>
      </c>
      <c r="M364" s="16">
        <v>-1</v>
      </c>
      <c r="N364" s="14">
        <v>122</v>
      </c>
      <c r="O364" s="14">
        <v>146</v>
      </c>
      <c r="P364" s="14">
        <v>134</v>
      </c>
      <c r="Q364" s="14">
        <v>-1</v>
      </c>
      <c r="R364" s="17" t="str">
        <f>IF(Cleaned_DS_jobs!$Q364&lt;10,"little_age_company",IF(AND(Cleaned_DS_jobs!$Q364&gt;=10,Cleaned_DS_jobs!$Q364&lt;=20),"average_age_company","Big_age_company"))</f>
        <v>little_age_company</v>
      </c>
    </row>
    <row r="365" spans="1:18" ht="19.95" customHeight="1" x14ac:dyDescent="0.3">
      <c r="A365" s="18" t="s">
        <v>240</v>
      </c>
      <c r="B365" s="19" t="s">
        <v>1718</v>
      </c>
      <c r="C365" s="19">
        <v>3.5</v>
      </c>
      <c r="D365" s="20" t="s">
        <v>2071</v>
      </c>
      <c r="E365" s="19" t="s">
        <v>30</v>
      </c>
      <c r="F365" s="21" t="s">
        <v>1815</v>
      </c>
      <c r="G365" s="21" t="s">
        <v>31</v>
      </c>
      <c r="H365" s="19">
        <v>-1</v>
      </c>
      <c r="I365" s="21" t="s">
        <v>32</v>
      </c>
      <c r="J365" s="21" t="s">
        <v>175</v>
      </c>
      <c r="K365" s="21" t="s">
        <v>175</v>
      </c>
      <c r="L365" s="21" t="s">
        <v>79</v>
      </c>
      <c r="M365" s="21">
        <v>-1</v>
      </c>
      <c r="N365" s="19">
        <v>122</v>
      </c>
      <c r="O365" s="19">
        <v>146</v>
      </c>
      <c r="P365" s="19">
        <v>134</v>
      </c>
      <c r="Q365" s="19">
        <v>-1</v>
      </c>
      <c r="R365" s="22" t="str">
        <f>IF(Cleaned_DS_jobs!$Q365&lt;10,"little_age_company",IF(AND(Cleaned_DS_jobs!$Q365&gt;=10,Cleaned_DS_jobs!$Q365&lt;=20),"average_age_company","Big_age_company"))</f>
        <v>little_age_company</v>
      </c>
    </row>
    <row r="366" spans="1:18" ht="19.95" customHeight="1" x14ac:dyDescent="0.3">
      <c r="A366" s="13" t="s">
        <v>26</v>
      </c>
      <c r="B366" s="14" t="s">
        <v>1719</v>
      </c>
      <c r="C366" s="14">
        <v>4.3</v>
      </c>
      <c r="D366" s="15" t="s">
        <v>2020</v>
      </c>
      <c r="E366" s="14" t="s">
        <v>64</v>
      </c>
      <c r="F366" s="16" t="s">
        <v>1779</v>
      </c>
      <c r="G366" s="16" t="s">
        <v>107</v>
      </c>
      <c r="H366" s="14">
        <v>1999</v>
      </c>
      <c r="I366" s="16" t="s">
        <v>53</v>
      </c>
      <c r="J366" s="16" t="s">
        <v>84</v>
      </c>
      <c r="K366" s="16" t="s">
        <v>60</v>
      </c>
      <c r="L366" s="16" t="s">
        <v>24</v>
      </c>
      <c r="M366" s="16">
        <v>-1</v>
      </c>
      <c r="N366" s="14">
        <v>112</v>
      </c>
      <c r="O366" s="14">
        <v>116</v>
      </c>
      <c r="P366" s="14">
        <v>114</v>
      </c>
      <c r="Q366" s="14">
        <v>27</v>
      </c>
      <c r="R366" s="17" t="str">
        <f>IF(Cleaned_DS_jobs!$Q366&lt;10,"little_age_company",IF(AND(Cleaned_DS_jobs!$Q366&gt;=10,Cleaned_DS_jobs!$Q366&lt;=20),"average_age_company","Big_age_company"))</f>
        <v>Big_age_company</v>
      </c>
    </row>
    <row r="367" spans="1:18" ht="19.95" customHeight="1" x14ac:dyDescent="0.3">
      <c r="A367" s="18" t="s">
        <v>26</v>
      </c>
      <c r="B367" s="19" t="s">
        <v>1719</v>
      </c>
      <c r="C367" s="19">
        <v>3.7</v>
      </c>
      <c r="D367" s="20" t="s">
        <v>2022</v>
      </c>
      <c r="E367" s="19" t="s">
        <v>64</v>
      </c>
      <c r="F367" s="21" t="s">
        <v>1780</v>
      </c>
      <c r="G367" s="21" t="s">
        <v>66</v>
      </c>
      <c r="H367" s="19">
        <v>1781</v>
      </c>
      <c r="I367" s="21" t="s">
        <v>32</v>
      </c>
      <c r="J367" s="21" t="s">
        <v>67</v>
      </c>
      <c r="K367" s="21" t="s">
        <v>67</v>
      </c>
      <c r="L367" s="21" t="s">
        <v>68</v>
      </c>
      <c r="M367" s="21" t="s">
        <v>255</v>
      </c>
      <c r="N367" s="19">
        <v>112</v>
      </c>
      <c r="O367" s="19">
        <v>116</v>
      </c>
      <c r="P367" s="19">
        <v>114</v>
      </c>
      <c r="Q367" s="19">
        <v>245</v>
      </c>
      <c r="R367" s="22" t="str">
        <f>IF(Cleaned_DS_jobs!$Q367&lt;10,"little_age_company",IF(AND(Cleaned_DS_jobs!$Q367&gt;=10,Cleaned_DS_jobs!$Q367&lt;=20),"average_age_company","Big_age_company"))</f>
        <v>Big_age_company</v>
      </c>
    </row>
    <row r="368" spans="1:18" ht="19.95" customHeight="1" x14ac:dyDescent="0.3">
      <c r="A368" s="13" t="s">
        <v>26</v>
      </c>
      <c r="B368" s="14" t="s">
        <v>1719</v>
      </c>
      <c r="C368" s="14">
        <v>3.5</v>
      </c>
      <c r="D368" s="15" t="s">
        <v>2071</v>
      </c>
      <c r="E368" s="14" t="s">
        <v>30</v>
      </c>
      <c r="F368" s="16" t="s">
        <v>1815</v>
      </c>
      <c r="G368" s="16" t="s">
        <v>31</v>
      </c>
      <c r="H368" s="14">
        <v>-1</v>
      </c>
      <c r="I368" s="16" t="s">
        <v>32</v>
      </c>
      <c r="J368" s="16" t="s">
        <v>175</v>
      </c>
      <c r="K368" s="16" t="s">
        <v>175</v>
      </c>
      <c r="L368" s="16" t="s">
        <v>79</v>
      </c>
      <c r="M368" s="16">
        <v>-1</v>
      </c>
      <c r="N368" s="14">
        <v>112</v>
      </c>
      <c r="O368" s="14">
        <v>116</v>
      </c>
      <c r="P368" s="14">
        <v>114</v>
      </c>
      <c r="Q368" s="14">
        <v>-1</v>
      </c>
      <c r="R368" s="17" t="str">
        <f>IF(Cleaned_DS_jobs!$Q368&lt;10,"little_age_company",IF(AND(Cleaned_DS_jobs!$Q368&gt;=10,Cleaned_DS_jobs!$Q368&lt;=20),"average_age_company","Big_age_company"))</f>
        <v>little_age_company</v>
      </c>
    </row>
    <row r="369" spans="1:18" ht="19.95" customHeight="1" x14ac:dyDescent="0.3">
      <c r="A369" s="18" t="s">
        <v>1680</v>
      </c>
      <c r="B369" s="19" t="s">
        <v>1719</v>
      </c>
      <c r="C369" s="19">
        <v>3.9</v>
      </c>
      <c r="D369" s="20" t="s">
        <v>2139</v>
      </c>
      <c r="E369" s="19" t="s">
        <v>760</v>
      </c>
      <c r="F369" s="21" t="s">
        <v>1856</v>
      </c>
      <c r="G369" s="21" t="s">
        <v>20</v>
      </c>
      <c r="H369" s="19">
        <v>1947</v>
      </c>
      <c r="I369" s="21" t="s">
        <v>21</v>
      </c>
      <c r="J369" s="21" t="s">
        <v>33</v>
      </c>
      <c r="K369" s="21" t="s">
        <v>34</v>
      </c>
      <c r="L369" s="21" t="s">
        <v>101</v>
      </c>
      <c r="M369" s="21" t="s">
        <v>762</v>
      </c>
      <c r="N369" s="19">
        <v>112</v>
      </c>
      <c r="O369" s="19">
        <v>116</v>
      </c>
      <c r="P369" s="19">
        <v>114</v>
      </c>
      <c r="Q369" s="19">
        <v>79</v>
      </c>
      <c r="R369" s="22" t="str">
        <f>IF(Cleaned_DS_jobs!$Q369&lt;10,"little_age_company",IF(AND(Cleaned_DS_jobs!$Q369&gt;=10,Cleaned_DS_jobs!$Q369&lt;=20),"average_age_company","Big_age_company"))</f>
        <v>Big_age_company</v>
      </c>
    </row>
    <row r="370" spans="1:18" ht="19.95" customHeight="1" x14ac:dyDescent="0.3">
      <c r="A370" s="13" t="s">
        <v>26</v>
      </c>
      <c r="B370" s="14" t="s">
        <v>1719</v>
      </c>
      <c r="C370" s="14">
        <v>4.7</v>
      </c>
      <c r="D370" s="15" t="s">
        <v>2230</v>
      </c>
      <c r="E370" s="14" t="s">
        <v>1114</v>
      </c>
      <c r="F370" s="16" t="s">
        <v>1913</v>
      </c>
      <c r="G370" s="16" t="s">
        <v>52</v>
      </c>
      <c r="H370" s="14">
        <v>2008</v>
      </c>
      <c r="I370" s="16" t="s">
        <v>53</v>
      </c>
      <c r="J370" s="16" t="s">
        <v>40</v>
      </c>
      <c r="K370" s="16" t="s">
        <v>34</v>
      </c>
      <c r="L370" s="16" t="s">
        <v>24</v>
      </c>
      <c r="M370" s="16">
        <v>-1</v>
      </c>
      <c r="N370" s="14">
        <v>112</v>
      </c>
      <c r="O370" s="14">
        <v>116</v>
      </c>
      <c r="P370" s="14">
        <v>114</v>
      </c>
      <c r="Q370" s="14">
        <v>18</v>
      </c>
      <c r="R370" s="17" t="str">
        <f>IF(Cleaned_DS_jobs!$Q370&lt;10,"little_age_company",IF(AND(Cleaned_DS_jobs!$Q370&gt;=10,Cleaned_DS_jobs!$Q370&lt;=20),"average_age_company","Big_age_company"))</f>
        <v>average_age_company</v>
      </c>
    </row>
    <row r="371" spans="1:18" ht="19.95" customHeight="1" x14ac:dyDescent="0.3">
      <c r="A371" s="18" t="s">
        <v>756</v>
      </c>
      <c r="B371" s="19" t="s">
        <v>1719</v>
      </c>
      <c r="C371" s="19">
        <v>4.8</v>
      </c>
      <c r="D371" s="20" t="s">
        <v>2017</v>
      </c>
      <c r="E371" s="19" t="s">
        <v>38</v>
      </c>
      <c r="F371" s="21" t="s">
        <v>1746</v>
      </c>
      <c r="G371" s="21" t="s">
        <v>107</v>
      </c>
      <c r="H371" s="19">
        <v>2012</v>
      </c>
      <c r="I371" s="21" t="s">
        <v>53</v>
      </c>
      <c r="J371" s="21" t="s">
        <v>59</v>
      </c>
      <c r="K371" s="21" t="s">
        <v>60</v>
      </c>
      <c r="L371" s="21" t="s">
        <v>24</v>
      </c>
      <c r="M371" s="21">
        <v>-1</v>
      </c>
      <c r="N371" s="19">
        <v>112</v>
      </c>
      <c r="O371" s="19">
        <v>116</v>
      </c>
      <c r="P371" s="19">
        <v>114</v>
      </c>
      <c r="Q371" s="19">
        <v>14</v>
      </c>
      <c r="R371" s="22" t="str">
        <f>IF(Cleaned_DS_jobs!$Q371&lt;10,"little_age_company",IF(AND(Cleaned_DS_jobs!$Q371&gt;=10,Cleaned_DS_jobs!$Q371&lt;=20),"average_age_company","Big_age_company"))</f>
        <v>average_age_company</v>
      </c>
    </row>
    <row r="372" spans="1:18" ht="19.95" customHeight="1" x14ac:dyDescent="0.3">
      <c r="A372" s="13" t="s">
        <v>1681</v>
      </c>
      <c r="B372" s="14" t="s">
        <v>1719</v>
      </c>
      <c r="C372" s="14">
        <v>4</v>
      </c>
      <c r="D372" s="15" t="s">
        <v>2047</v>
      </c>
      <c r="E372" s="14" t="s">
        <v>366</v>
      </c>
      <c r="F372" s="16" t="s">
        <v>1799</v>
      </c>
      <c r="G372" s="16" t="s">
        <v>66</v>
      </c>
      <c r="H372" s="14">
        <v>1913</v>
      </c>
      <c r="I372" s="16" t="s">
        <v>32</v>
      </c>
      <c r="J372" s="16" t="s">
        <v>67</v>
      </c>
      <c r="K372" s="16" t="s">
        <v>67</v>
      </c>
      <c r="L372" s="16" t="s">
        <v>68</v>
      </c>
      <c r="M372" s="16" t="s">
        <v>368</v>
      </c>
      <c r="N372" s="14">
        <v>112</v>
      </c>
      <c r="O372" s="14">
        <v>116</v>
      </c>
      <c r="P372" s="14">
        <v>114</v>
      </c>
      <c r="Q372" s="14">
        <v>113</v>
      </c>
      <c r="R372" s="17" t="str">
        <f>IF(Cleaned_DS_jobs!$Q372&lt;10,"little_age_company",IF(AND(Cleaned_DS_jobs!$Q372&gt;=10,Cleaned_DS_jobs!$Q372&lt;=20),"average_age_company","Big_age_company"))</f>
        <v>Big_age_company</v>
      </c>
    </row>
    <row r="373" spans="1:18" ht="19.95" customHeight="1" x14ac:dyDescent="0.3">
      <c r="A373" s="18" t="s">
        <v>26</v>
      </c>
      <c r="B373" s="19" t="s">
        <v>1719</v>
      </c>
      <c r="C373" s="19">
        <v>4.4000000000000004</v>
      </c>
      <c r="D373" s="20" t="s">
        <v>2231</v>
      </c>
      <c r="E373" s="19" t="s">
        <v>1118</v>
      </c>
      <c r="F373" s="21" t="s">
        <v>1914</v>
      </c>
      <c r="G373" s="21" t="s">
        <v>52</v>
      </c>
      <c r="H373" s="19">
        <v>-1</v>
      </c>
      <c r="I373" s="21" t="s">
        <v>53</v>
      </c>
      <c r="J373" s="21" t="s">
        <v>1972</v>
      </c>
      <c r="K373" s="21" t="s">
        <v>1972</v>
      </c>
      <c r="L373" s="21" t="s">
        <v>24</v>
      </c>
      <c r="M373" s="21">
        <v>-1</v>
      </c>
      <c r="N373" s="19">
        <v>112</v>
      </c>
      <c r="O373" s="19">
        <v>116</v>
      </c>
      <c r="P373" s="19">
        <v>114</v>
      </c>
      <c r="Q373" s="19">
        <v>-1</v>
      </c>
      <c r="R373" s="22" t="str">
        <f>IF(Cleaned_DS_jobs!$Q373&lt;10,"little_age_company",IF(AND(Cleaned_DS_jobs!$Q373&gt;=10,Cleaned_DS_jobs!$Q373&lt;=20),"average_age_company","Big_age_company"))</f>
        <v>little_age_company</v>
      </c>
    </row>
    <row r="374" spans="1:18" ht="19.95" customHeight="1" x14ac:dyDescent="0.3">
      <c r="A374" s="13" t="s">
        <v>26</v>
      </c>
      <c r="B374" s="14" t="s">
        <v>1719</v>
      </c>
      <c r="C374" s="14">
        <v>3.2</v>
      </c>
      <c r="D374" s="15" t="s">
        <v>2232</v>
      </c>
      <c r="E374" s="14" t="s">
        <v>1122</v>
      </c>
      <c r="F374" s="16" t="s">
        <v>1773</v>
      </c>
      <c r="G374" s="16" t="s">
        <v>66</v>
      </c>
      <c r="H374" s="14">
        <v>2018</v>
      </c>
      <c r="I374" s="16" t="s">
        <v>32</v>
      </c>
      <c r="J374" s="16" t="s">
        <v>175</v>
      </c>
      <c r="K374" s="16" t="s">
        <v>175</v>
      </c>
      <c r="L374" s="16" t="s">
        <v>24</v>
      </c>
      <c r="M374" s="16">
        <v>-1</v>
      </c>
      <c r="N374" s="14">
        <v>112</v>
      </c>
      <c r="O374" s="14">
        <v>116</v>
      </c>
      <c r="P374" s="14">
        <v>114</v>
      </c>
      <c r="Q374" s="14">
        <v>8</v>
      </c>
      <c r="R374" s="17" t="str">
        <f>IF(Cleaned_DS_jobs!$Q374&lt;10,"little_age_company",IF(AND(Cleaned_DS_jobs!$Q374&gt;=10,Cleaned_DS_jobs!$Q374&lt;=20),"average_age_company","Big_age_company"))</f>
        <v>little_age_company</v>
      </c>
    </row>
    <row r="375" spans="1:18" ht="19.95" customHeight="1" x14ac:dyDescent="0.3">
      <c r="A375" s="18" t="s">
        <v>26</v>
      </c>
      <c r="B375" s="19" t="s">
        <v>1719</v>
      </c>
      <c r="C375" s="19">
        <v>4.5</v>
      </c>
      <c r="D375" s="20" t="s">
        <v>2233</v>
      </c>
      <c r="E375" s="19" t="s">
        <v>111</v>
      </c>
      <c r="F375" s="21" t="s">
        <v>1915</v>
      </c>
      <c r="G375" s="21" t="s">
        <v>117</v>
      </c>
      <c r="H375" s="19">
        <v>1980</v>
      </c>
      <c r="I375" s="21" t="s">
        <v>53</v>
      </c>
      <c r="J375" s="21" t="s">
        <v>286</v>
      </c>
      <c r="K375" s="21" t="s">
        <v>34</v>
      </c>
      <c r="L375" s="21" t="s">
        <v>24</v>
      </c>
      <c r="M375" s="21" t="s">
        <v>1126</v>
      </c>
      <c r="N375" s="19">
        <v>112</v>
      </c>
      <c r="O375" s="19">
        <v>116</v>
      </c>
      <c r="P375" s="19">
        <v>114</v>
      </c>
      <c r="Q375" s="19">
        <v>46</v>
      </c>
      <c r="R375" s="22" t="str">
        <f>IF(Cleaned_DS_jobs!$Q375&lt;10,"little_age_company",IF(AND(Cleaned_DS_jobs!$Q375&gt;=10,Cleaned_DS_jobs!$Q375&lt;=20),"average_age_company","Big_age_company"))</f>
        <v>Big_age_company</v>
      </c>
    </row>
    <row r="376" spans="1:18" ht="19.95" customHeight="1" x14ac:dyDescent="0.3">
      <c r="A376" s="13" t="s">
        <v>1127</v>
      </c>
      <c r="B376" s="14" t="s">
        <v>1719</v>
      </c>
      <c r="C376" s="14">
        <v>3.5</v>
      </c>
      <c r="D376" s="15" t="s">
        <v>2234</v>
      </c>
      <c r="E376" s="14" t="s">
        <v>193</v>
      </c>
      <c r="F376" s="16" t="s">
        <v>1770</v>
      </c>
      <c r="G376" s="16" t="s">
        <v>107</v>
      </c>
      <c r="H376" s="14">
        <v>2003</v>
      </c>
      <c r="I376" s="16" t="s">
        <v>21</v>
      </c>
      <c r="J376" s="16" t="s">
        <v>33</v>
      </c>
      <c r="K376" s="16" t="s">
        <v>34</v>
      </c>
      <c r="L376" s="16" t="s">
        <v>41</v>
      </c>
      <c r="M376" s="16">
        <v>-1</v>
      </c>
      <c r="N376" s="14">
        <v>112</v>
      </c>
      <c r="O376" s="14">
        <v>116</v>
      </c>
      <c r="P376" s="14">
        <v>114</v>
      </c>
      <c r="Q376" s="14">
        <v>23</v>
      </c>
      <c r="R376" s="17" t="str">
        <f>IF(Cleaned_DS_jobs!$Q376&lt;10,"little_age_company",IF(AND(Cleaned_DS_jobs!$Q376&gt;=10,Cleaned_DS_jobs!$Q376&lt;=20),"average_age_company","Big_age_company"))</f>
        <v>Big_age_company</v>
      </c>
    </row>
    <row r="377" spans="1:18" ht="19.95" customHeight="1" x14ac:dyDescent="0.3">
      <c r="A377" s="18" t="s">
        <v>26</v>
      </c>
      <c r="B377" s="19" t="s">
        <v>1719</v>
      </c>
      <c r="C377" s="19">
        <v>4.4000000000000004</v>
      </c>
      <c r="D377" s="20" t="s">
        <v>2235</v>
      </c>
      <c r="E377" s="19" t="s">
        <v>130</v>
      </c>
      <c r="F377" s="21" t="s">
        <v>1916</v>
      </c>
      <c r="G377" s="21" t="s">
        <v>20</v>
      </c>
      <c r="H377" s="19">
        <v>1989</v>
      </c>
      <c r="I377" s="21" t="s">
        <v>53</v>
      </c>
      <c r="J377" s="21" t="s">
        <v>286</v>
      </c>
      <c r="K377" s="21" t="s">
        <v>34</v>
      </c>
      <c r="L377" s="21" t="s">
        <v>41</v>
      </c>
      <c r="M377" s="21" t="s">
        <v>1133</v>
      </c>
      <c r="N377" s="19">
        <v>112</v>
      </c>
      <c r="O377" s="19">
        <v>116</v>
      </c>
      <c r="P377" s="19">
        <v>114</v>
      </c>
      <c r="Q377" s="19">
        <v>37</v>
      </c>
      <c r="R377" s="22" t="str">
        <f>IF(Cleaned_DS_jobs!$Q377&lt;10,"little_age_company",IF(AND(Cleaned_DS_jobs!$Q377&gt;=10,Cleaned_DS_jobs!$Q377&lt;=20),"average_age_company","Big_age_company"))</f>
        <v>Big_age_company</v>
      </c>
    </row>
    <row r="378" spans="1:18" ht="19.95" customHeight="1" x14ac:dyDescent="0.3">
      <c r="A378" s="13" t="s">
        <v>26</v>
      </c>
      <c r="B378" s="14" t="s">
        <v>1719</v>
      </c>
      <c r="C378" s="14">
        <v>3.1</v>
      </c>
      <c r="D378" s="15" t="s">
        <v>2236</v>
      </c>
      <c r="E378" s="14" t="s">
        <v>511</v>
      </c>
      <c r="F378" s="16" t="s">
        <v>1876</v>
      </c>
      <c r="G378" s="16" t="s">
        <v>117</v>
      </c>
      <c r="H378" s="14">
        <v>2001</v>
      </c>
      <c r="I378" s="16" t="s">
        <v>53</v>
      </c>
      <c r="J378" s="16" t="s">
        <v>286</v>
      </c>
      <c r="K378" s="16" t="s">
        <v>34</v>
      </c>
      <c r="L378" s="16" t="s">
        <v>212</v>
      </c>
      <c r="M378" s="16">
        <v>-1</v>
      </c>
      <c r="N378" s="14">
        <v>112</v>
      </c>
      <c r="O378" s="14">
        <v>116</v>
      </c>
      <c r="P378" s="14">
        <v>114</v>
      </c>
      <c r="Q378" s="14">
        <v>25</v>
      </c>
      <c r="R378" s="17" t="str">
        <f>IF(Cleaned_DS_jobs!$Q378&lt;10,"little_age_company",IF(AND(Cleaned_DS_jobs!$Q378&gt;=10,Cleaned_DS_jobs!$Q378&lt;=20),"average_age_company","Big_age_company"))</f>
        <v>Big_age_company</v>
      </c>
    </row>
    <row r="379" spans="1:18" ht="19.95" customHeight="1" x14ac:dyDescent="0.3">
      <c r="A379" s="18" t="s">
        <v>1136</v>
      </c>
      <c r="B379" s="19" t="s">
        <v>1719</v>
      </c>
      <c r="C379" s="19">
        <v>3.5</v>
      </c>
      <c r="D379" s="20" t="s">
        <v>2237</v>
      </c>
      <c r="E379" s="19" t="s">
        <v>420</v>
      </c>
      <c r="F379" s="21" t="s">
        <v>1807</v>
      </c>
      <c r="G379" s="21" t="s">
        <v>107</v>
      </c>
      <c r="H379" s="19">
        <v>2011</v>
      </c>
      <c r="I379" s="21" t="s">
        <v>53</v>
      </c>
      <c r="J379" s="21" t="s">
        <v>1139</v>
      </c>
      <c r="K379" s="21" t="s">
        <v>968</v>
      </c>
      <c r="L379" s="21" t="s">
        <v>24</v>
      </c>
      <c r="M379" s="21">
        <v>-1</v>
      </c>
      <c r="N379" s="19">
        <v>112</v>
      </c>
      <c r="O379" s="19">
        <v>116</v>
      </c>
      <c r="P379" s="19">
        <v>114</v>
      </c>
      <c r="Q379" s="19">
        <v>15</v>
      </c>
      <c r="R379" s="22" t="str">
        <f>IF(Cleaned_DS_jobs!$Q379&lt;10,"little_age_company",IF(AND(Cleaned_DS_jobs!$Q379&gt;=10,Cleaned_DS_jobs!$Q379&lt;=20),"average_age_company","Big_age_company"))</f>
        <v>average_age_company</v>
      </c>
    </row>
    <row r="380" spans="1:18" ht="19.95" customHeight="1" x14ac:dyDescent="0.3">
      <c r="A380" s="13" t="s">
        <v>26</v>
      </c>
      <c r="B380" s="14" t="s">
        <v>1719</v>
      </c>
      <c r="C380" s="14">
        <v>3.8</v>
      </c>
      <c r="D380" s="15" t="s">
        <v>2238</v>
      </c>
      <c r="E380" s="14" t="s">
        <v>1114</v>
      </c>
      <c r="F380" s="16" t="s">
        <v>1917</v>
      </c>
      <c r="G380" s="16" t="s">
        <v>20</v>
      </c>
      <c r="H380" s="14">
        <v>1999</v>
      </c>
      <c r="I380" s="16" t="s">
        <v>53</v>
      </c>
      <c r="J380" s="16" t="s">
        <v>92</v>
      </c>
      <c r="K380" s="16" t="s">
        <v>60</v>
      </c>
      <c r="L380" s="16" t="s">
        <v>194</v>
      </c>
      <c r="M380" s="16">
        <v>-1</v>
      </c>
      <c r="N380" s="14">
        <v>112</v>
      </c>
      <c r="O380" s="14">
        <v>116</v>
      </c>
      <c r="P380" s="14">
        <v>114</v>
      </c>
      <c r="Q380" s="14">
        <v>27</v>
      </c>
      <c r="R380" s="17" t="str">
        <f>IF(Cleaned_DS_jobs!$Q380&lt;10,"little_age_company",IF(AND(Cleaned_DS_jobs!$Q380&gt;=10,Cleaned_DS_jobs!$Q380&lt;=20),"average_age_company","Big_age_company"))</f>
        <v>Big_age_company</v>
      </c>
    </row>
    <row r="381" spans="1:18" ht="19.95" customHeight="1" x14ac:dyDescent="0.3">
      <c r="A381" s="18" t="s">
        <v>26</v>
      </c>
      <c r="B381" s="19" t="s">
        <v>1719</v>
      </c>
      <c r="C381" s="19">
        <v>3.7</v>
      </c>
      <c r="D381" s="20" t="s">
        <v>2239</v>
      </c>
      <c r="E381" s="19" t="s">
        <v>178</v>
      </c>
      <c r="F381" s="21" t="s">
        <v>1904</v>
      </c>
      <c r="G381" s="21" t="s">
        <v>31</v>
      </c>
      <c r="H381" s="19">
        <v>1908</v>
      </c>
      <c r="I381" s="21" t="s">
        <v>301</v>
      </c>
      <c r="J381" s="21" t="s">
        <v>99</v>
      </c>
      <c r="K381" s="21" t="s">
        <v>100</v>
      </c>
      <c r="L381" s="21" t="s">
        <v>24</v>
      </c>
      <c r="M381" s="21" t="s">
        <v>1145</v>
      </c>
      <c r="N381" s="19">
        <v>112</v>
      </c>
      <c r="O381" s="19">
        <v>116</v>
      </c>
      <c r="P381" s="19">
        <v>114</v>
      </c>
      <c r="Q381" s="19">
        <v>118</v>
      </c>
      <c r="R381" s="22" t="str">
        <f>IF(Cleaned_DS_jobs!$Q381&lt;10,"little_age_company",IF(AND(Cleaned_DS_jobs!$Q381&gt;=10,Cleaned_DS_jobs!$Q381&lt;=20),"average_age_company","Big_age_company"))</f>
        <v>Big_age_company</v>
      </c>
    </row>
    <row r="382" spans="1:18" ht="19.95" customHeight="1" x14ac:dyDescent="0.3">
      <c r="A382" s="13" t="s">
        <v>769</v>
      </c>
      <c r="B382" s="14" t="s">
        <v>1719</v>
      </c>
      <c r="C382" s="14">
        <v>3.5</v>
      </c>
      <c r="D382" s="15" t="s">
        <v>2141</v>
      </c>
      <c r="E382" s="14" t="s">
        <v>772</v>
      </c>
      <c r="F382" s="16" t="s">
        <v>1857</v>
      </c>
      <c r="G382" s="16" t="s">
        <v>46</v>
      </c>
      <c r="H382" s="14">
        <v>1996</v>
      </c>
      <c r="I382" s="16" t="s">
        <v>21</v>
      </c>
      <c r="J382" s="16" t="s">
        <v>139</v>
      </c>
      <c r="K382" s="16" t="s">
        <v>140</v>
      </c>
      <c r="L382" s="16" t="s">
        <v>101</v>
      </c>
      <c r="M382" s="16">
        <v>-1</v>
      </c>
      <c r="N382" s="14">
        <v>112</v>
      </c>
      <c r="O382" s="14">
        <v>116</v>
      </c>
      <c r="P382" s="14">
        <v>114</v>
      </c>
      <c r="Q382" s="14">
        <v>30</v>
      </c>
      <c r="R382" s="17" t="str">
        <f>IF(Cleaned_DS_jobs!$Q382&lt;10,"little_age_company",IF(AND(Cleaned_DS_jobs!$Q382&gt;=10,Cleaned_DS_jobs!$Q382&lt;=20),"average_age_company","Big_age_company"))</f>
        <v>Big_age_company</v>
      </c>
    </row>
    <row r="383" spans="1:18" ht="19.95" customHeight="1" x14ac:dyDescent="0.3">
      <c r="A383" s="18" t="s">
        <v>773</v>
      </c>
      <c r="B383" s="19" t="s">
        <v>1719</v>
      </c>
      <c r="C383" s="19">
        <v>3.7</v>
      </c>
      <c r="D383" s="20" t="s">
        <v>2119</v>
      </c>
      <c r="E383" s="19" t="s">
        <v>38</v>
      </c>
      <c r="F383" s="21" t="s">
        <v>1844</v>
      </c>
      <c r="G383" s="21" t="s">
        <v>31</v>
      </c>
      <c r="H383" s="19">
        <v>1851</v>
      </c>
      <c r="I383" s="21" t="s">
        <v>53</v>
      </c>
      <c r="J383" s="21" t="s">
        <v>22</v>
      </c>
      <c r="K383" s="21" t="s">
        <v>23</v>
      </c>
      <c r="L383" s="21" t="s">
        <v>68</v>
      </c>
      <c r="M383" s="21">
        <v>-1</v>
      </c>
      <c r="N383" s="19">
        <v>112</v>
      </c>
      <c r="O383" s="19">
        <v>116</v>
      </c>
      <c r="P383" s="19">
        <v>114</v>
      </c>
      <c r="Q383" s="19">
        <v>175</v>
      </c>
      <c r="R383" s="22" t="str">
        <f>IF(Cleaned_DS_jobs!$Q383&lt;10,"little_age_company",IF(AND(Cleaned_DS_jobs!$Q383&gt;=10,Cleaned_DS_jobs!$Q383&lt;=20),"average_age_company","Big_age_company"))</f>
        <v>Big_age_company</v>
      </c>
    </row>
    <row r="384" spans="1:18" ht="19.95" customHeight="1" x14ac:dyDescent="0.3">
      <c r="A384" s="13" t="s">
        <v>1688</v>
      </c>
      <c r="B384" s="14" t="s">
        <v>1719</v>
      </c>
      <c r="C384" s="14">
        <v>5</v>
      </c>
      <c r="D384" s="15" t="s">
        <v>2240</v>
      </c>
      <c r="E384" s="14" t="s">
        <v>38</v>
      </c>
      <c r="F384" s="16" t="s">
        <v>1802</v>
      </c>
      <c r="G384" s="16" t="s">
        <v>117</v>
      </c>
      <c r="H384" s="14">
        <v>2003</v>
      </c>
      <c r="I384" s="16" t="s">
        <v>1149</v>
      </c>
      <c r="J384" s="16" t="s">
        <v>59</v>
      </c>
      <c r="K384" s="16" t="s">
        <v>60</v>
      </c>
      <c r="L384" s="16" t="s">
        <v>24</v>
      </c>
      <c r="M384" s="16">
        <v>-1</v>
      </c>
      <c r="N384" s="14">
        <v>112</v>
      </c>
      <c r="O384" s="14">
        <v>116</v>
      </c>
      <c r="P384" s="14">
        <v>114</v>
      </c>
      <c r="Q384" s="14">
        <v>23</v>
      </c>
      <c r="R384" s="17" t="str">
        <f>IF(Cleaned_DS_jobs!$Q384&lt;10,"little_age_company",IF(AND(Cleaned_DS_jobs!$Q384&gt;=10,Cleaned_DS_jobs!$Q384&lt;=20),"average_age_company","Big_age_company"))</f>
        <v>Big_age_company</v>
      </c>
    </row>
    <row r="385" spans="1:18" ht="19.95" customHeight="1" x14ac:dyDescent="0.3">
      <c r="A385" s="18" t="s">
        <v>1689</v>
      </c>
      <c r="B385" s="19" t="s">
        <v>1719</v>
      </c>
      <c r="C385" s="19">
        <v>4</v>
      </c>
      <c r="D385" s="20" t="s">
        <v>2241</v>
      </c>
      <c r="E385" s="19" t="s">
        <v>357</v>
      </c>
      <c r="F385" s="21" t="s">
        <v>1797</v>
      </c>
      <c r="G385" s="21" t="s">
        <v>66</v>
      </c>
      <c r="H385" s="19">
        <v>1853</v>
      </c>
      <c r="I385" s="21" t="s">
        <v>32</v>
      </c>
      <c r="J385" s="21" t="s">
        <v>22</v>
      </c>
      <c r="K385" s="21" t="s">
        <v>23</v>
      </c>
      <c r="L385" s="21" t="s">
        <v>68</v>
      </c>
      <c r="M385" s="21">
        <v>-1</v>
      </c>
      <c r="N385" s="19">
        <v>112</v>
      </c>
      <c r="O385" s="19">
        <v>116</v>
      </c>
      <c r="P385" s="19">
        <v>114</v>
      </c>
      <c r="Q385" s="19">
        <v>173</v>
      </c>
      <c r="R385" s="22" t="str">
        <f>IF(Cleaned_DS_jobs!$Q385&lt;10,"little_age_company",IF(AND(Cleaned_DS_jobs!$Q385&gt;=10,Cleaned_DS_jobs!$Q385&lt;=20),"average_age_company","Big_age_company"))</f>
        <v>Big_age_company</v>
      </c>
    </row>
    <row r="386" spans="1:18" ht="19.95" customHeight="1" x14ac:dyDescent="0.3">
      <c r="A386" s="13" t="s">
        <v>1153</v>
      </c>
      <c r="B386" s="14" t="s">
        <v>1719</v>
      </c>
      <c r="C386" s="14">
        <v>3.6</v>
      </c>
      <c r="D386" s="15" t="s">
        <v>2242</v>
      </c>
      <c r="E386" s="14" t="s">
        <v>143</v>
      </c>
      <c r="F386" s="16" t="s">
        <v>1763</v>
      </c>
      <c r="G386" s="16" t="s">
        <v>20</v>
      </c>
      <c r="H386" s="14">
        <v>2011</v>
      </c>
      <c r="I386" s="16" t="s">
        <v>301</v>
      </c>
      <c r="J386" s="16" t="s">
        <v>123</v>
      </c>
      <c r="K386" s="16" t="s">
        <v>60</v>
      </c>
      <c r="L386" s="16" t="s">
        <v>24</v>
      </c>
      <c r="M386" s="16">
        <v>-1</v>
      </c>
      <c r="N386" s="14">
        <v>112</v>
      </c>
      <c r="O386" s="14">
        <v>116</v>
      </c>
      <c r="P386" s="14">
        <v>114</v>
      </c>
      <c r="Q386" s="14">
        <v>15</v>
      </c>
      <c r="R386" s="17" t="str">
        <f>IF(Cleaned_DS_jobs!$Q386&lt;10,"little_age_company",IF(AND(Cleaned_DS_jobs!$Q386&gt;=10,Cleaned_DS_jobs!$Q386&lt;=20),"average_age_company","Big_age_company"))</f>
        <v>average_age_company</v>
      </c>
    </row>
    <row r="387" spans="1:18" ht="19.95" customHeight="1" x14ac:dyDescent="0.3">
      <c r="A387" s="18" t="s">
        <v>240</v>
      </c>
      <c r="B387" s="19" t="s">
        <v>1720</v>
      </c>
      <c r="C387" s="19">
        <v>4.8</v>
      </c>
      <c r="D387" s="20" t="s">
        <v>2017</v>
      </c>
      <c r="E387" s="19" t="s">
        <v>38</v>
      </c>
      <c r="F387" s="21" t="s">
        <v>1746</v>
      </c>
      <c r="G387" s="21" t="s">
        <v>107</v>
      </c>
      <c r="H387" s="19">
        <v>2012</v>
      </c>
      <c r="I387" s="21" t="s">
        <v>53</v>
      </c>
      <c r="J387" s="21" t="s">
        <v>59</v>
      </c>
      <c r="K387" s="21" t="s">
        <v>60</v>
      </c>
      <c r="L387" s="21" t="s">
        <v>24</v>
      </c>
      <c r="M387" s="21">
        <v>-1</v>
      </c>
      <c r="N387" s="19">
        <v>110</v>
      </c>
      <c r="O387" s="19">
        <v>163</v>
      </c>
      <c r="P387" s="19">
        <v>136.5</v>
      </c>
      <c r="Q387" s="19">
        <v>14</v>
      </c>
      <c r="R387" s="22" t="str">
        <f>IF(Cleaned_DS_jobs!$Q387&lt;10,"little_age_company",IF(AND(Cleaned_DS_jobs!$Q387&gt;=10,Cleaned_DS_jobs!$Q387&lt;=20),"average_age_company","Big_age_company"))</f>
        <v>average_age_company</v>
      </c>
    </row>
    <row r="388" spans="1:18" ht="19.95" customHeight="1" x14ac:dyDescent="0.3">
      <c r="A388" s="13" t="s">
        <v>1157</v>
      </c>
      <c r="B388" s="14" t="s">
        <v>1720</v>
      </c>
      <c r="C388" s="14">
        <v>3.8</v>
      </c>
      <c r="D388" s="15" t="s">
        <v>2059</v>
      </c>
      <c r="E388" s="14" t="s">
        <v>420</v>
      </c>
      <c r="F388" s="16" t="s">
        <v>1807</v>
      </c>
      <c r="G388" s="16" t="s">
        <v>52</v>
      </c>
      <c r="H388" s="14">
        <v>2009</v>
      </c>
      <c r="I388" s="16" t="s">
        <v>53</v>
      </c>
      <c r="J388" s="16" t="s">
        <v>54</v>
      </c>
      <c r="K388" s="16" t="s">
        <v>34</v>
      </c>
      <c r="L388" s="16" t="s">
        <v>160</v>
      </c>
      <c r="M388" s="16" t="s">
        <v>421</v>
      </c>
      <c r="N388" s="14">
        <v>110</v>
      </c>
      <c r="O388" s="14">
        <v>163</v>
      </c>
      <c r="P388" s="14">
        <v>136.5</v>
      </c>
      <c r="Q388" s="14">
        <v>17</v>
      </c>
      <c r="R388" s="17" t="str">
        <f>IF(Cleaned_DS_jobs!$Q388&lt;10,"little_age_company",IF(AND(Cleaned_DS_jobs!$Q388&gt;=10,Cleaned_DS_jobs!$Q388&lt;=20),"average_age_company","Big_age_company"))</f>
        <v>average_age_company</v>
      </c>
    </row>
    <row r="389" spans="1:18" ht="19.95" customHeight="1" x14ac:dyDescent="0.3">
      <c r="A389" s="18" t="s">
        <v>1690</v>
      </c>
      <c r="B389" s="19" t="s">
        <v>1720</v>
      </c>
      <c r="C389" s="19">
        <v>3.6</v>
      </c>
      <c r="D389" s="20" t="s">
        <v>2243</v>
      </c>
      <c r="E389" s="19" t="s">
        <v>64</v>
      </c>
      <c r="F389" s="21" t="s">
        <v>1779</v>
      </c>
      <c r="G389" s="21" t="s">
        <v>31</v>
      </c>
      <c r="H389" s="19">
        <v>1978</v>
      </c>
      <c r="I389" s="21" t="s">
        <v>32</v>
      </c>
      <c r="J389" s="21" t="s">
        <v>67</v>
      </c>
      <c r="K389" s="21" t="s">
        <v>67</v>
      </c>
      <c r="L389" s="21" t="s">
        <v>68</v>
      </c>
      <c r="M389" s="21">
        <v>-1</v>
      </c>
      <c r="N389" s="19">
        <v>110</v>
      </c>
      <c r="O389" s="19">
        <v>163</v>
      </c>
      <c r="P389" s="19">
        <v>136.5</v>
      </c>
      <c r="Q389" s="19">
        <v>48</v>
      </c>
      <c r="R389" s="22" t="str">
        <f>IF(Cleaned_DS_jobs!$Q389&lt;10,"little_age_company",IF(AND(Cleaned_DS_jobs!$Q389&gt;=10,Cleaned_DS_jobs!$Q389&lt;=20),"average_age_company","Big_age_company"))</f>
        <v>Big_age_company</v>
      </c>
    </row>
    <row r="390" spans="1:18" ht="19.95" customHeight="1" x14ac:dyDescent="0.3">
      <c r="A390" s="13" t="s">
        <v>26</v>
      </c>
      <c r="B390" s="14" t="s">
        <v>1720</v>
      </c>
      <c r="C390" s="14">
        <v>-1</v>
      </c>
      <c r="D390" s="15" t="s">
        <v>1736</v>
      </c>
      <c r="E390" s="14" t="s">
        <v>143</v>
      </c>
      <c r="F390" s="16">
        <v>-1</v>
      </c>
      <c r="G390" s="16" t="s">
        <v>1972</v>
      </c>
      <c r="H390" s="14">
        <v>-1</v>
      </c>
      <c r="I390" s="16" t="s">
        <v>1972</v>
      </c>
      <c r="J390" s="16" t="s">
        <v>1972</v>
      </c>
      <c r="K390" s="16" t="s">
        <v>1972</v>
      </c>
      <c r="L390" s="16" t="s">
        <v>1972</v>
      </c>
      <c r="M390" s="16">
        <v>-1</v>
      </c>
      <c r="N390" s="14">
        <v>110</v>
      </c>
      <c r="O390" s="14">
        <v>163</v>
      </c>
      <c r="P390" s="14">
        <v>136.5</v>
      </c>
      <c r="Q390" s="14">
        <v>-1</v>
      </c>
      <c r="R390" s="17" t="str">
        <f>IF(Cleaned_DS_jobs!$Q390&lt;10,"little_age_company",IF(AND(Cleaned_DS_jobs!$Q390&gt;=10,Cleaned_DS_jobs!$Q390&lt;=20),"average_age_company","Big_age_company"))</f>
        <v>little_age_company</v>
      </c>
    </row>
    <row r="391" spans="1:18" ht="19.95" customHeight="1" x14ac:dyDescent="0.3">
      <c r="A391" s="18" t="s">
        <v>26</v>
      </c>
      <c r="B391" s="19" t="s">
        <v>1720</v>
      </c>
      <c r="C391" s="19">
        <v>-1</v>
      </c>
      <c r="D391" s="20" t="s">
        <v>1736</v>
      </c>
      <c r="E391" s="19" t="s">
        <v>143</v>
      </c>
      <c r="F391" s="21">
        <v>-1</v>
      </c>
      <c r="G391" s="21" t="s">
        <v>1972</v>
      </c>
      <c r="H391" s="19">
        <v>-1</v>
      </c>
      <c r="I391" s="21" t="s">
        <v>1972</v>
      </c>
      <c r="J391" s="21" t="s">
        <v>1972</v>
      </c>
      <c r="K391" s="21" t="s">
        <v>1972</v>
      </c>
      <c r="L391" s="21" t="s">
        <v>1972</v>
      </c>
      <c r="M391" s="21">
        <v>-1</v>
      </c>
      <c r="N391" s="19">
        <v>110</v>
      </c>
      <c r="O391" s="19">
        <v>163</v>
      </c>
      <c r="P391" s="19">
        <v>136.5</v>
      </c>
      <c r="Q391" s="19">
        <v>-1</v>
      </c>
      <c r="R391" s="22" t="str">
        <f>IF(Cleaned_DS_jobs!$Q391&lt;10,"little_age_company",IF(AND(Cleaned_DS_jobs!$Q391&gt;=10,Cleaned_DS_jobs!$Q391&lt;=20),"average_age_company","Big_age_company"))</f>
        <v>little_age_company</v>
      </c>
    </row>
    <row r="392" spans="1:18" ht="19.95" customHeight="1" x14ac:dyDescent="0.3">
      <c r="A392" s="13" t="s">
        <v>1682</v>
      </c>
      <c r="B392" s="14" t="s">
        <v>1720</v>
      </c>
      <c r="C392" s="14">
        <v>3.3</v>
      </c>
      <c r="D392" s="15" t="s">
        <v>2037</v>
      </c>
      <c r="E392" s="14" t="s">
        <v>328</v>
      </c>
      <c r="F392" s="16" t="s">
        <v>1752</v>
      </c>
      <c r="G392" s="16" t="s">
        <v>46</v>
      </c>
      <c r="H392" s="14">
        <v>2015</v>
      </c>
      <c r="I392" s="16" t="s">
        <v>53</v>
      </c>
      <c r="J392" s="16" t="s">
        <v>67</v>
      </c>
      <c r="K392" s="16" t="s">
        <v>67</v>
      </c>
      <c r="L392" s="16" t="s">
        <v>24</v>
      </c>
      <c r="M392" s="16">
        <v>-1</v>
      </c>
      <c r="N392" s="14">
        <v>110</v>
      </c>
      <c r="O392" s="14">
        <v>163</v>
      </c>
      <c r="P392" s="14">
        <v>136.5</v>
      </c>
      <c r="Q392" s="14">
        <v>11</v>
      </c>
      <c r="R392" s="17" t="str">
        <f>IF(Cleaned_DS_jobs!$Q392&lt;10,"little_age_company",IF(AND(Cleaned_DS_jobs!$Q392&gt;=10,Cleaned_DS_jobs!$Q392&lt;=20),"average_age_company","Big_age_company"))</f>
        <v>average_age_company</v>
      </c>
    </row>
    <row r="393" spans="1:18" ht="19.95" customHeight="1" x14ac:dyDescent="0.3">
      <c r="A393" s="18" t="s">
        <v>1691</v>
      </c>
      <c r="B393" s="19" t="s">
        <v>1720</v>
      </c>
      <c r="C393" s="19">
        <v>4.0999999999999996</v>
      </c>
      <c r="D393" s="20" t="s">
        <v>2244</v>
      </c>
      <c r="E393" s="19" t="s">
        <v>942</v>
      </c>
      <c r="F393" s="21" t="s">
        <v>1918</v>
      </c>
      <c r="G393" s="21" t="s">
        <v>31</v>
      </c>
      <c r="H393" s="19">
        <v>1981</v>
      </c>
      <c r="I393" s="21" t="s">
        <v>32</v>
      </c>
      <c r="J393" s="21" t="s">
        <v>59</v>
      </c>
      <c r="K393" s="21" t="s">
        <v>60</v>
      </c>
      <c r="L393" s="21" t="s">
        <v>35</v>
      </c>
      <c r="M393" s="21" t="s">
        <v>1168</v>
      </c>
      <c r="N393" s="19">
        <v>110</v>
      </c>
      <c r="O393" s="19">
        <v>163</v>
      </c>
      <c r="P393" s="19">
        <v>136.5</v>
      </c>
      <c r="Q393" s="19">
        <v>45</v>
      </c>
      <c r="R393" s="22" t="str">
        <f>IF(Cleaned_DS_jobs!$Q393&lt;10,"little_age_company",IF(AND(Cleaned_DS_jobs!$Q393&gt;=10,Cleaned_DS_jobs!$Q393&lt;=20),"average_age_company","Big_age_company"))</f>
        <v>Big_age_company</v>
      </c>
    </row>
    <row r="394" spans="1:18" ht="19.95" customHeight="1" x14ac:dyDescent="0.3">
      <c r="A394" s="13" t="s">
        <v>1169</v>
      </c>
      <c r="B394" s="14" t="s">
        <v>1720</v>
      </c>
      <c r="C394" s="14">
        <v>3.6</v>
      </c>
      <c r="D394" s="15" t="s">
        <v>2245</v>
      </c>
      <c r="E394" s="14" t="s">
        <v>1172</v>
      </c>
      <c r="F394" s="16" t="s">
        <v>1757</v>
      </c>
      <c r="G394" s="16" t="s">
        <v>20</v>
      </c>
      <c r="H394" s="14">
        <v>-1</v>
      </c>
      <c r="I394" s="16" t="s">
        <v>53</v>
      </c>
      <c r="J394" s="16" t="s">
        <v>67</v>
      </c>
      <c r="K394" s="16" t="s">
        <v>67</v>
      </c>
      <c r="L394" s="16" t="s">
        <v>41</v>
      </c>
      <c r="M394" s="16">
        <v>-1</v>
      </c>
      <c r="N394" s="14">
        <v>110</v>
      </c>
      <c r="O394" s="14">
        <v>163</v>
      </c>
      <c r="P394" s="14">
        <v>136.5</v>
      </c>
      <c r="Q394" s="14">
        <v>-1</v>
      </c>
      <c r="R394" s="17" t="str">
        <f>IF(Cleaned_DS_jobs!$Q394&lt;10,"little_age_company",IF(AND(Cleaned_DS_jobs!$Q394&gt;=10,Cleaned_DS_jobs!$Q394&lt;=20),"average_age_company","Big_age_company"))</f>
        <v>little_age_company</v>
      </c>
    </row>
    <row r="395" spans="1:18" ht="19.95" customHeight="1" x14ac:dyDescent="0.3">
      <c r="A395" s="18" t="s">
        <v>189</v>
      </c>
      <c r="B395" s="19" t="s">
        <v>1720</v>
      </c>
      <c r="C395" s="19">
        <v>4.5</v>
      </c>
      <c r="D395" s="20" t="s">
        <v>2001</v>
      </c>
      <c r="E395" s="19" t="s">
        <v>179</v>
      </c>
      <c r="F395" s="21" t="s">
        <v>1768</v>
      </c>
      <c r="G395" s="21" t="s">
        <v>52</v>
      </c>
      <c r="H395" s="19">
        <v>2005</v>
      </c>
      <c r="I395" s="21" t="s">
        <v>53</v>
      </c>
      <c r="J395" s="21" t="s">
        <v>118</v>
      </c>
      <c r="K395" s="21" t="s">
        <v>98</v>
      </c>
      <c r="L395" s="21" t="s">
        <v>164</v>
      </c>
      <c r="M395" s="21">
        <v>-1</v>
      </c>
      <c r="N395" s="19">
        <v>110</v>
      </c>
      <c r="O395" s="19">
        <v>163</v>
      </c>
      <c r="P395" s="19">
        <v>136.5</v>
      </c>
      <c r="Q395" s="19">
        <v>21</v>
      </c>
      <c r="R395" s="22" t="str">
        <f>IF(Cleaned_DS_jobs!$Q395&lt;10,"little_age_company",IF(AND(Cleaned_DS_jobs!$Q395&gt;=10,Cleaned_DS_jobs!$Q395&lt;=20),"average_age_company","Big_age_company"))</f>
        <v>Big_age_company</v>
      </c>
    </row>
    <row r="396" spans="1:18" ht="19.95" customHeight="1" x14ac:dyDescent="0.3">
      <c r="A396" s="13" t="s">
        <v>1174</v>
      </c>
      <c r="B396" s="14" t="s">
        <v>1720</v>
      </c>
      <c r="C396" s="14">
        <v>3.3</v>
      </c>
      <c r="D396" s="15" t="s">
        <v>2037</v>
      </c>
      <c r="E396" s="14" t="s">
        <v>83</v>
      </c>
      <c r="F396" s="16" t="s">
        <v>1752</v>
      </c>
      <c r="G396" s="16" t="s">
        <v>46</v>
      </c>
      <c r="H396" s="14">
        <v>2015</v>
      </c>
      <c r="I396" s="16" t="s">
        <v>53</v>
      </c>
      <c r="J396" s="16" t="s">
        <v>67</v>
      </c>
      <c r="K396" s="16" t="s">
        <v>67</v>
      </c>
      <c r="L396" s="16" t="s">
        <v>24</v>
      </c>
      <c r="M396" s="16">
        <v>-1</v>
      </c>
      <c r="N396" s="14">
        <v>110</v>
      </c>
      <c r="O396" s="14">
        <v>163</v>
      </c>
      <c r="P396" s="14">
        <v>136.5</v>
      </c>
      <c r="Q396" s="14">
        <v>11</v>
      </c>
      <c r="R396" s="17" t="str">
        <f>IF(Cleaned_DS_jobs!$Q396&lt;10,"little_age_company",IF(AND(Cleaned_DS_jobs!$Q396&gt;=10,Cleaned_DS_jobs!$Q396&lt;=20),"average_age_company","Big_age_company"))</f>
        <v>average_age_company</v>
      </c>
    </row>
    <row r="397" spans="1:18" ht="19.95" customHeight="1" x14ac:dyDescent="0.3">
      <c r="A397" s="18" t="s">
        <v>1176</v>
      </c>
      <c r="B397" s="19" t="s">
        <v>1720</v>
      </c>
      <c r="C397" s="19">
        <v>3.4</v>
      </c>
      <c r="D397" s="20" t="s">
        <v>2012</v>
      </c>
      <c r="E397" s="19" t="s">
        <v>453</v>
      </c>
      <c r="F397" s="21" t="s">
        <v>1746</v>
      </c>
      <c r="G397" s="21" t="s">
        <v>66</v>
      </c>
      <c r="H397" s="19">
        <v>1912</v>
      </c>
      <c r="I397" s="21" t="s">
        <v>53</v>
      </c>
      <c r="J397" s="21" t="s">
        <v>22</v>
      </c>
      <c r="K397" s="21" t="s">
        <v>23</v>
      </c>
      <c r="L397" s="21" t="s">
        <v>68</v>
      </c>
      <c r="M397" s="21" t="s">
        <v>225</v>
      </c>
      <c r="N397" s="19">
        <v>110</v>
      </c>
      <c r="O397" s="19">
        <v>163</v>
      </c>
      <c r="P397" s="19">
        <v>136.5</v>
      </c>
      <c r="Q397" s="19">
        <v>114</v>
      </c>
      <c r="R397" s="22" t="str">
        <f>IF(Cleaned_DS_jobs!$Q397&lt;10,"little_age_company",IF(AND(Cleaned_DS_jobs!$Q397&gt;=10,Cleaned_DS_jobs!$Q397&lt;=20),"average_age_company","Big_age_company"))</f>
        <v>Big_age_company</v>
      </c>
    </row>
    <row r="398" spans="1:18" ht="19.95" customHeight="1" x14ac:dyDescent="0.3">
      <c r="A398" s="13" t="s">
        <v>26</v>
      </c>
      <c r="B398" s="14" t="s">
        <v>1720</v>
      </c>
      <c r="C398" s="14">
        <v>4.3</v>
      </c>
      <c r="D398" s="15" t="s">
        <v>2246</v>
      </c>
      <c r="E398" s="14" t="s">
        <v>111</v>
      </c>
      <c r="F398" s="16" t="s">
        <v>1917</v>
      </c>
      <c r="G398" s="16" t="s">
        <v>46</v>
      </c>
      <c r="H398" s="14">
        <v>1996</v>
      </c>
      <c r="I398" s="16" t="s">
        <v>53</v>
      </c>
      <c r="J398" s="16" t="s">
        <v>92</v>
      </c>
      <c r="K398" s="16" t="s">
        <v>60</v>
      </c>
      <c r="L398" s="16" t="s">
        <v>41</v>
      </c>
      <c r="M398" s="16" t="s">
        <v>1180</v>
      </c>
      <c r="N398" s="14">
        <v>110</v>
      </c>
      <c r="O398" s="14">
        <v>163</v>
      </c>
      <c r="P398" s="14">
        <v>136.5</v>
      </c>
      <c r="Q398" s="14">
        <v>30</v>
      </c>
      <c r="R398" s="17" t="str">
        <f>IF(Cleaned_DS_jobs!$Q398&lt;10,"little_age_company",IF(AND(Cleaned_DS_jobs!$Q398&gt;=10,Cleaned_DS_jobs!$Q398&lt;=20),"average_age_company","Big_age_company"))</f>
        <v>Big_age_company</v>
      </c>
    </row>
    <row r="399" spans="1:18" ht="19.95" customHeight="1" x14ac:dyDescent="0.3">
      <c r="A399" s="18" t="s">
        <v>1692</v>
      </c>
      <c r="B399" s="19" t="s">
        <v>1720</v>
      </c>
      <c r="C399" s="19">
        <v>3.5</v>
      </c>
      <c r="D399" s="20" t="s">
        <v>2071</v>
      </c>
      <c r="E399" s="19" t="s">
        <v>30</v>
      </c>
      <c r="F399" s="21" t="s">
        <v>1815</v>
      </c>
      <c r="G399" s="21" t="s">
        <v>31</v>
      </c>
      <c r="H399" s="19">
        <v>-1</v>
      </c>
      <c r="I399" s="21" t="s">
        <v>32</v>
      </c>
      <c r="J399" s="21" t="s">
        <v>175</v>
      </c>
      <c r="K399" s="21" t="s">
        <v>175</v>
      </c>
      <c r="L399" s="21" t="s">
        <v>79</v>
      </c>
      <c r="M399" s="21">
        <v>-1</v>
      </c>
      <c r="N399" s="19">
        <v>110</v>
      </c>
      <c r="O399" s="19">
        <v>163</v>
      </c>
      <c r="P399" s="19">
        <v>136.5</v>
      </c>
      <c r="Q399" s="19">
        <v>-1</v>
      </c>
      <c r="R399" s="22" t="str">
        <f>IF(Cleaned_DS_jobs!$Q399&lt;10,"little_age_company",IF(AND(Cleaned_DS_jobs!$Q399&gt;=10,Cleaned_DS_jobs!$Q399&lt;=20),"average_age_company","Big_age_company"))</f>
        <v>little_age_company</v>
      </c>
    </row>
    <row r="400" spans="1:18" ht="19.95" customHeight="1" x14ac:dyDescent="0.3">
      <c r="A400" s="13" t="s">
        <v>1693</v>
      </c>
      <c r="B400" s="14" t="s">
        <v>1720</v>
      </c>
      <c r="C400" s="14">
        <v>4</v>
      </c>
      <c r="D400" s="15" t="s">
        <v>2247</v>
      </c>
      <c r="E400" s="14" t="s">
        <v>1186</v>
      </c>
      <c r="F400" s="16" t="s">
        <v>1919</v>
      </c>
      <c r="G400" s="16" t="s">
        <v>20</v>
      </c>
      <c r="H400" s="14">
        <v>1974</v>
      </c>
      <c r="I400" s="16" t="s">
        <v>53</v>
      </c>
      <c r="J400" s="16" t="s">
        <v>175</v>
      </c>
      <c r="K400" s="16" t="s">
        <v>175</v>
      </c>
      <c r="L400" s="16" t="s">
        <v>41</v>
      </c>
      <c r="M400" s="16">
        <v>-1</v>
      </c>
      <c r="N400" s="14">
        <v>110</v>
      </c>
      <c r="O400" s="14">
        <v>163</v>
      </c>
      <c r="P400" s="14">
        <v>136.5</v>
      </c>
      <c r="Q400" s="14">
        <v>52</v>
      </c>
      <c r="R400" s="17" t="str">
        <f>IF(Cleaned_DS_jobs!$Q400&lt;10,"little_age_company",IF(AND(Cleaned_DS_jobs!$Q400&gt;=10,Cleaned_DS_jobs!$Q400&lt;=20),"average_age_company","Big_age_company"))</f>
        <v>Big_age_company</v>
      </c>
    </row>
    <row r="401" spans="1:18" ht="19.95" customHeight="1" x14ac:dyDescent="0.3">
      <c r="A401" s="18" t="s">
        <v>1187</v>
      </c>
      <c r="B401" s="19" t="s">
        <v>1720</v>
      </c>
      <c r="C401" s="19">
        <v>4.5</v>
      </c>
      <c r="D401" s="20" t="s">
        <v>2032</v>
      </c>
      <c r="E401" s="19" t="s">
        <v>295</v>
      </c>
      <c r="F401" s="21" t="s">
        <v>1786</v>
      </c>
      <c r="G401" s="21" t="s">
        <v>107</v>
      </c>
      <c r="H401" s="19">
        <v>2010</v>
      </c>
      <c r="I401" s="21" t="s">
        <v>53</v>
      </c>
      <c r="J401" s="21" t="s">
        <v>175</v>
      </c>
      <c r="K401" s="21" t="s">
        <v>175</v>
      </c>
      <c r="L401" s="21" t="s">
        <v>41</v>
      </c>
      <c r="M401" s="21">
        <v>-1</v>
      </c>
      <c r="N401" s="19">
        <v>110</v>
      </c>
      <c r="O401" s="19">
        <v>163</v>
      </c>
      <c r="P401" s="19">
        <v>136.5</v>
      </c>
      <c r="Q401" s="19">
        <v>16</v>
      </c>
      <c r="R401" s="22" t="str">
        <f>IF(Cleaned_DS_jobs!$Q401&lt;10,"little_age_company",IF(AND(Cleaned_DS_jobs!$Q401&gt;=10,Cleaned_DS_jobs!$Q401&lt;=20),"average_age_company","Big_age_company"))</f>
        <v>average_age_company</v>
      </c>
    </row>
    <row r="402" spans="1:18" ht="19.95" customHeight="1" x14ac:dyDescent="0.3">
      <c r="A402" s="13" t="s">
        <v>615</v>
      </c>
      <c r="B402" s="14" t="s">
        <v>1720</v>
      </c>
      <c r="C402" s="14">
        <v>4.5</v>
      </c>
      <c r="D402" s="15" t="s">
        <v>1983</v>
      </c>
      <c r="E402" s="14" t="s">
        <v>30</v>
      </c>
      <c r="F402" s="16" t="s">
        <v>1753</v>
      </c>
      <c r="G402" s="16" t="s">
        <v>46</v>
      </c>
      <c r="H402" s="14">
        <v>2012</v>
      </c>
      <c r="I402" s="16" t="s">
        <v>53</v>
      </c>
      <c r="J402" s="16" t="s">
        <v>84</v>
      </c>
      <c r="K402" s="16" t="s">
        <v>60</v>
      </c>
      <c r="L402" s="16" t="s">
        <v>41</v>
      </c>
      <c r="M402" s="16" t="s">
        <v>88</v>
      </c>
      <c r="N402" s="14">
        <v>110</v>
      </c>
      <c r="O402" s="14">
        <v>163</v>
      </c>
      <c r="P402" s="14">
        <v>136.5</v>
      </c>
      <c r="Q402" s="14">
        <v>14</v>
      </c>
      <c r="R402" s="17" t="str">
        <f>IF(Cleaned_DS_jobs!$Q402&lt;10,"little_age_company",IF(AND(Cleaned_DS_jobs!$Q402&gt;=10,Cleaned_DS_jobs!$Q402&lt;=20),"average_age_company","Big_age_company"))</f>
        <v>average_age_company</v>
      </c>
    </row>
    <row r="403" spans="1:18" ht="19.95" customHeight="1" x14ac:dyDescent="0.3">
      <c r="A403" s="18" t="s">
        <v>1190</v>
      </c>
      <c r="B403" s="19" t="s">
        <v>1720</v>
      </c>
      <c r="C403" s="19">
        <v>3.9</v>
      </c>
      <c r="D403" s="20" t="s">
        <v>2248</v>
      </c>
      <c r="E403" s="19" t="s">
        <v>1193</v>
      </c>
      <c r="F403" s="21" t="s">
        <v>1782</v>
      </c>
      <c r="G403" s="21" t="s">
        <v>66</v>
      </c>
      <c r="H403" s="19">
        <v>1933</v>
      </c>
      <c r="I403" s="21" t="s">
        <v>425</v>
      </c>
      <c r="J403" s="21" t="s">
        <v>411</v>
      </c>
      <c r="K403" s="21" t="s">
        <v>170</v>
      </c>
      <c r="L403" s="21" t="s">
        <v>24</v>
      </c>
      <c r="M403" s="21">
        <v>-1</v>
      </c>
      <c r="N403" s="19">
        <v>110</v>
      </c>
      <c r="O403" s="19">
        <v>163</v>
      </c>
      <c r="P403" s="19">
        <v>136.5</v>
      </c>
      <c r="Q403" s="19">
        <v>93</v>
      </c>
      <c r="R403" s="22" t="str">
        <f>IF(Cleaned_DS_jobs!$Q403&lt;10,"little_age_company",IF(AND(Cleaned_DS_jobs!$Q403&gt;=10,Cleaned_DS_jobs!$Q403&lt;=20),"average_age_company","Big_age_company"))</f>
        <v>Big_age_company</v>
      </c>
    </row>
    <row r="404" spans="1:18" ht="19.95" customHeight="1" x14ac:dyDescent="0.3">
      <c r="A404" s="13" t="s">
        <v>1694</v>
      </c>
      <c r="B404" s="14" t="s">
        <v>1720</v>
      </c>
      <c r="C404" s="14">
        <v>4</v>
      </c>
      <c r="D404" s="15" t="s">
        <v>2249</v>
      </c>
      <c r="E404" s="14" t="s">
        <v>1197</v>
      </c>
      <c r="F404" s="16" t="s">
        <v>1920</v>
      </c>
      <c r="G404" s="16" t="s">
        <v>20</v>
      </c>
      <c r="H404" s="14">
        <v>1995</v>
      </c>
      <c r="I404" s="16" t="s">
        <v>32</v>
      </c>
      <c r="J404" s="16" t="s">
        <v>139</v>
      </c>
      <c r="K404" s="16" t="s">
        <v>140</v>
      </c>
      <c r="L404" s="16" t="s">
        <v>41</v>
      </c>
      <c r="M404" s="16">
        <v>-1</v>
      </c>
      <c r="N404" s="14">
        <v>110</v>
      </c>
      <c r="O404" s="14">
        <v>163</v>
      </c>
      <c r="P404" s="14">
        <v>136.5</v>
      </c>
      <c r="Q404" s="14">
        <v>31</v>
      </c>
      <c r="R404" s="17" t="str">
        <f>IF(Cleaned_DS_jobs!$Q404&lt;10,"little_age_company",IF(AND(Cleaned_DS_jobs!$Q404&gt;=10,Cleaned_DS_jobs!$Q404&lt;=20),"average_age_company","Big_age_company"))</f>
        <v>Big_age_company</v>
      </c>
    </row>
    <row r="405" spans="1:18" ht="19.95" customHeight="1" x14ac:dyDescent="0.3">
      <c r="A405" s="18" t="s">
        <v>1198</v>
      </c>
      <c r="B405" s="19" t="s">
        <v>1720</v>
      </c>
      <c r="C405" s="19">
        <v>3.6</v>
      </c>
      <c r="D405" s="20" t="s">
        <v>2250</v>
      </c>
      <c r="E405" s="19" t="s">
        <v>903</v>
      </c>
      <c r="F405" s="21" t="s">
        <v>1921</v>
      </c>
      <c r="G405" s="21" t="s">
        <v>107</v>
      </c>
      <c r="H405" s="19">
        <v>1994</v>
      </c>
      <c r="I405" s="21" t="s">
        <v>53</v>
      </c>
      <c r="J405" s="21" t="s">
        <v>139</v>
      </c>
      <c r="K405" s="21" t="s">
        <v>140</v>
      </c>
      <c r="L405" s="21" t="s">
        <v>101</v>
      </c>
      <c r="M405" s="21">
        <v>-1</v>
      </c>
      <c r="N405" s="19">
        <v>110</v>
      </c>
      <c r="O405" s="19">
        <v>163</v>
      </c>
      <c r="P405" s="19">
        <v>136.5</v>
      </c>
      <c r="Q405" s="19">
        <v>32</v>
      </c>
      <c r="R405" s="22" t="str">
        <f>IF(Cleaned_DS_jobs!$Q405&lt;10,"little_age_company",IF(AND(Cleaned_DS_jobs!$Q405&gt;=10,Cleaned_DS_jobs!$Q405&lt;=20),"average_age_company","Big_age_company"))</f>
        <v>Big_age_company</v>
      </c>
    </row>
    <row r="406" spans="1:18" ht="19.95" customHeight="1" x14ac:dyDescent="0.3">
      <c r="A406" s="13" t="s">
        <v>1202</v>
      </c>
      <c r="B406" s="14" t="s">
        <v>1720</v>
      </c>
      <c r="C406" s="14">
        <v>3.3</v>
      </c>
      <c r="D406" s="15" t="s">
        <v>2251</v>
      </c>
      <c r="E406" s="14" t="s">
        <v>1205</v>
      </c>
      <c r="F406" s="16" t="s">
        <v>1922</v>
      </c>
      <c r="G406" s="16" t="s">
        <v>31</v>
      </c>
      <c r="H406" s="14">
        <v>1875</v>
      </c>
      <c r="I406" s="16" t="s">
        <v>53</v>
      </c>
      <c r="J406" s="16" t="s">
        <v>302</v>
      </c>
      <c r="K406" s="16" t="s">
        <v>48</v>
      </c>
      <c r="L406" s="16" t="s">
        <v>68</v>
      </c>
      <c r="M406" s="16">
        <v>-1</v>
      </c>
      <c r="N406" s="14">
        <v>110</v>
      </c>
      <c r="O406" s="14">
        <v>163</v>
      </c>
      <c r="P406" s="14">
        <v>136.5</v>
      </c>
      <c r="Q406" s="14">
        <v>151</v>
      </c>
      <c r="R406" s="17" t="str">
        <f>IF(Cleaned_DS_jobs!$Q406&lt;10,"little_age_company",IF(AND(Cleaned_DS_jobs!$Q406&gt;=10,Cleaned_DS_jobs!$Q406&lt;=20),"average_age_company","Big_age_company"))</f>
        <v>Big_age_company</v>
      </c>
    </row>
    <row r="407" spans="1:18" ht="19.95" customHeight="1" x14ac:dyDescent="0.3">
      <c r="A407" s="18" t="s">
        <v>1206</v>
      </c>
      <c r="B407" s="19" t="s">
        <v>1720</v>
      </c>
      <c r="C407" s="19">
        <v>5</v>
      </c>
      <c r="D407" s="20" t="s">
        <v>2252</v>
      </c>
      <c r="E407" s="19" t="s">
        <v>1036</v>
      </c>
      <c r="F407" s="21" t="s">
        <v>1813</v>
      </c>
      <c r="G407" s="21" t="s">
        <v>52</v>
      </c>
      <c r="H407" s="19">
        <v>2016</v>
      </c>
      <c r="I407" s="21" t="s">
        <v>53</v>
      </c>
      <c r="J407" s="21" t="s">
        <v>84</v>
      </c>
      <c r="K407" s="21" t="s">
        <v>60</v>
      </c>
      <c r="L407" s="21" t="s">
        <v>24</v>
      </c>
      <c r="M407" s="21">
        <v>-1</v>
      </c>
      <c r="N407" s="19">
        <v>110</v>
      </c>
      <c r="O407" s="19">
        <v>163</v>
      </c>
      <c r="P407" s="19">
        <v>136.5</v>
      </c>
      <c r="Q407" s="19">
        <v>10</v>
      </c>
      <c r="R407" s="22" t="str">
        <f>IF(Cleaned_DS_jobs!$Q407&lt;10,"little_age_company",IF(AND(Cleaned_DS_jobs!$Q407&gt;=10,Cleaned_DS_jobs!$Q407&lt;=20),"average_age_company","Big_age_company"))</f>
        <v>average_age_company</v>
      </c>
    </row>
    <row r="408" spans="1:18" ht="19.95" customHeight="1" x14ac:dyDescent="0.3">
      <c r="A408" s="13" t="s">
        <v>274</v>
      </c>
      <c r="B408" s="14" t="s">
        <v>1721</v>
      </c>
      <c r="C408" s="14">
        <v>4.0999999999999996</v>
      </c>
      <c r="D408" s="15" t="s">
        <v>2028</v>
      </c>
      <c r="E408" s="14" t="s">
        <v>143</v>
      </c>
      <c r="F408" s="16" t="s">
        <v>1763</v>
      </c>
      <c r="G408" s="16" t="s">
        <v>20</v>
      </c>
      <c r="H408" s="14">
        <v>2006</v>
      </c>
      <c r="I408" s="16" t="s">
        <v>32</v>
      </c>
      <c r="J408" s="16" t="s">
        <v>123</v>
      </c>
      <c r="K408" s="16" t="s">
        <v>60</v>
      </c>
      <c r="L408" s="16" t="s">
        <v>79</v>
      </c>
      <c r="M408" s="16" t="s">
        <v>277</v>
      </c>
      <c r="N408" s="14">
        <v>124</v>
      </c>
      <c r="O408" s="14">
        <v>198</v>
      </c>
      <c r="P408" s="14">
        <v>161</v>
      </c>
      <c r="Q408" s="14">
        <v>20</v>
      </c>
      <c r="R408" s="17" t="str">
        <f>IF(Cleaned_DS_jobs!$Q408&lt;10,"little_age_company",IF(AND(Cleaned_DS_jobs!$Q408&gt;=10,Cleaned_DS_jobs!$Q408&lt;=20),"average_age_company","Big_age_company"))</f>
        <v>average_age_company</v>
      </c>
    </row>
    <row r="409" spans="1:18" ht="19.95" customHeight="1" x14ac:dyDescent="0.3">
      <c r="A409" s="18" t="s">
        <v>26</v>
      </c>
      <c r="B409" s="19" t="s">
        <v>1721</v>
      </c>
      <c r="C409" s="19">
        <v>3.2</v>
      </c>
      <c r="D409" s="20" t="s">
        <v>2029</v>
      </c>
      <c r="E409" s="19" t="s">
        <v>143</v>
      </c>
      <c r="F409" s="21" t="s">
        <v>1763</v>
      </c>
      <c r="G409" s="21" t="s">
        <v>20</v>
      </c>
      <c r="H409" s="19">
        <v>2011</v>
      </c>
      <c r="I409" s="21" t="s">
        <v>53</v>
      </c>
      <c r="J409" s="21" t="s">
        <v>280</v>
      </c>
      <c r="K409" s="21" t="s">
        <v>281</v>
      </c>
      <c r="L409" s="21" t="s">
        <v>24</v>
      </c>
      <c r="M409" s="21" t="s">
        <v>282</v>
      </c>
      <c r="N409" s="19">
        <v>124</v>
      </c>
      <c r="O409" s="19">
        <v>198</v>
      </c>
      <c r="P409" s="19">
        <v>161</v>
      </c>
      <c r="Q409" s="19">
        <v>15</v>
      </c>
      <c r="R409" s="22" t="str">
        <f>IF(Cleaned_DS_jobs!$Q409&lt;10,"little_age_company",IF(AND(Cleaned_DS_jobs!$Q409&gt;=10,Cleaned_DS_jobs!$Q409&lt;=20),"average_age_company","Big_age_company"))</f>
        <v>average_age_company</v>
      </c>
    </row>
    <row r="410" spans="1:18" ht="19.95" customHeight="1" x14ac:dyDescent="0.3">
      <c r="A410" s="13" t="s">
        <v>26</v>
      </c>
      <c r="B410" s="14" t="s">
        <v>1721</v>
      </c>
      <c r="C410" s="14">
        <v>4.9000000000000004</v>
      </c>
      <c r="D410" s="15" t="s">
        <v>2253</v>
      </c>
      <c r="E410" s="14" t="s">
        <v>1105</v>
      </c>
      <c r="F410" s="16" t="s">
        <v>1912</v>
      </c>
      <c r="G410" s="16" t="s">
        <v>52</v>
      </c>
      <c r="H410" s="14">
        <v>2010</v>
      </c>
      <c r="I410" s="16" t="s">
        <v>53</v>
      </c>
      <c r="J410" s="16" t="s">
        <v>84</v>
      </c>
      <c r="K410" s="16" t="s">
        <v>60</v>
      </c>
      <c r="L410" s="16" t="s">
        <v>160</v>
      </c>
      <c r="M410" s="16">
        <v>-1</v>
      </c>
      <c r="N410" s="14">
        <v>124</v>
      </c>
      <c r="O410" s="14">
        <v>198</v>
      </c>
      <c r="P410" s="14">
        <v>161</v>
      </c>
      <c r="Q410" s="14">
        <v>16</v>
      </c>
      <c r="R410" s="17" t="str">
        <f>IF(Cleaned_DS_jobs!$Q410&lt;10,"little_age_company",IF(AND(Cleaned_DS_jobs!$Q410&gt;=10,Cleaned_DS_jobs!$Q410&lt;=20),"average_age_company","Big_age_company"))</f>
        <v>average_age_company</v>
      </c>
    </row>
    <row r="411" spans="1:18" ht="19.95" customHeight="1" x14ac:dyDescent="0.3">
      <c r="A411" s="18" t="s">
        <v>26</v>
      </c>
      <c r="B411" s="19" t="s">
        <v>1721</v>
      </c>
      <c r="C411" s="19">
        <v>-1</v>
      </c>
      <c r="D411" s="20" t="s">
        <v>1213</v>
      </c>
      <c r="E411" s="19" t="s">
        <v>438</v>
      </c>
      <c r="F411" s="21" t="s">
        <v>1923</v>
      </c>
      <c r="G411" s="21" t="s">
        <v>688</v>
      </c>
      <c r="H411" s="19">
        <v>-1</v>
      </c>
      <c r="I411" s="21" t="s">
        <v>688</v>
      </c>
      <c r="J411" s="21" t="s">
        <v>1972</v>
      </c>
      <c r="K411" s="21" t="s">
        <v>1972</v>
      </c>
      <c r="L411" s="21" t="s">
        <v>24</v>
      </c>
      <c r="M411" s="21">
        <v>-1</v>
      </c>
      <c r="N411" s="19">
        <v>124</v>
      </c>
      <c r="O411" s="19">
        <v>198</v>
      </c>
      <c r="P411" s="19">
        <v>161</v>
      </c>
      <c r="Q411" s="19">
        <v>-1</v>
      </c>
      <c r="R411" s="22" t="str">
        <f>IF(Cleaned_DS_jobs!$Q411&lt;10,"little_age_company",IF(AND(Cleaned_DS_jobs!$Q411&gt;=10,Cleaned_DS_jobs!$Q411&lt;=20),"average_age_company","Big_age_company"))</f>
        <v>little_age_company</v>
      </c>
    </row>
    <row r="412" spans="1:18" ht="19.95" customHeight="1" x14ac:dyDescent="0.3">
      <c r="A412" s="13" t="s">
        <v>26</v>
      </c>
      <c r="B412" s="14" t="s">
        <v>1721</v>
      </c>
      <c r="C412" s="14">
        <v>3.3</v>
      </c>
      <c r="D412" s="15" t="s">
        <v>2254</v>
      </c>
      <c r="E412" s="14" t="s">
        <v>38</v>
      </c>
      <c r="F412" s="16" t="s">
        <v>1746</v>
      </c>
      <c r="G412" s="16" t="s">
        <v>107</v>
      </c>
      <c r="H412" s="14">
        <v>2018</v>
      </c>
      <c r="I412" s="16" t="s">
        <v>53</v>
      </c>
      <c r="J412" s="16" t="s">
        <v>67</v>
      </c>
      <c r="K412" s="16" t="s">
        <v>67</v>
      </c>
      <c r="L412" s="16" t="s">
        <v>24</v>
      </c>
      <c r="M412" s="16">
        <v>-1</v>
      </c>
      <c r="N412" s="14">
        <v>124</v>
      </c>
      <c r="O412" s="14">
        <v>198</v>
      </c>
      <c r="P412" s="14">
        <v>161</v>
      </c>
      <c r="Q412" s="14">
        <v>8</v>
      </c>
      <c r="R412" s="17" t="str">
        <f>IF(Cleaned_DS_jobs!$Q412&lt;10,"little_age_company",IF(AND(Cleaned_DS_jobs!$Q412&gt;=10,Cleaned_DS_jobs!$Q412&lt;=20),"average_age_company","Big_age_company"))</f>
        <v>little_age_company</v>
      </c>
    </row>
    <row r="413" spans="1:18" ht="19.95" customHeight="1" x14ac:dyDescent="0.3">
      <c r="A413" s="18" t="s">
        <v>26</v>
      </c>
      <c r="B413" s="19" t="s">
        <v>1721</v>
      </c>
      <c r="C413" s="19">
        <v>-1</v>
      </c>
      <c r="D413" s="20" t="s">
        <v>1218</v>
      </c>
      <c r="E413" s="19" t="s">
        <v>1219</v>
      </c>
      <c r="F413" s="21" t="s">
        <v>1924</v>
      </c>
      <c r="G413" s="21" t="s">
        <v>117</v>
      </c>
      <c r="H413" s="19">
        <v>2005</v>
      </c>
      <c r="I413" s="21" t="s">
        <v>53</v>
      </c>
      <c r="J413" s="21" t="s">
        <v>92</v>
      </c>
      <c r="K413" s="21" t="s">
        <v>60</v>
      </c>
      <c r="L413" s="21" t="s">
        <v>24</v>
      </c>
      <c r="M413" s="21">
        <v>-1</v>
      </c>
      <c r="N413" s="19">
        <v>124</v>
      </c>
      <c r="O413" s="19">
        <v>198</v>
      </c>
      <c r="P413" s="19">
        <v>161</v>
      </c>
      <c r="Q413" s="19">
        <v>21</v>
      </c>
      <c r="R413" s="22" t="str">
        <f>IF(Cleaned_DS_jobs!$Q413&lt;10,"little_age_company",IF(AND(Cleaned_DS_jobs!$Q413&gt;=10,Cleaned_DS_jobs!$Q413&lt;=20),"average_age_company","Big_age_company"))</f>
        <v>Big_age_company</v>
      </c>
    </row>
    <row r="414" spans="1:18" ht="19.95" customHeight="1" x14ac:dyDescent="0.3">
      <c r="A414" s="13" t="s">
        <v>26</v>
      </c>
      <c r="B414" s="14" t="s">
        <v>1721</v>
      </c>
      <c r="C414" s="14">
        <v>5</v>
      </c>
      <c r="D414" s="15" t="s">
        <v>2255</v>
      </c>
      <c r="E414" s="14" t="s">
        <v>511</v>
      </c>
      <c r="F414" s="16" t="s">
        <v>1903</v>
      </c>
      <c r="G414" s="16" t="s">
        <v>117</v>
      </c>
      <c r="H414" s="14">
        <v>-1</v>
      </c>
      <c r="I414" s="16" t="s">
        <v>53</v>
      </c>
      <c r="J414" s="16" t="s">
        <v>84</v>
      </c>
      <c r="K414" s="16" t="s">
        <v>60</v>
      </c>
      <c r="L414" s="16" t="s">
        <v>24</v>
      </c>
      <c r="M414" s="16">
        <v>-1</v>
      </c>
      <c r="N414" s="14">
        <v>124</v>
      </c>
      <c r="O414" s="14">
        <v>198</v>
      </c>
      <c r="P414" s="14">
        <v>161</v>
      </c>
      <c r="Q414" s="14">
        <v>-1</v>
      </c>
      <c r="R414" s="17" t="str">
        <f>IF(Cleaned_DS_jobs!$Q414&lt;10,"little_age_company",IF(AND(Cleaned_DS_jobs!$Q414&gt;=10,Cleaned_DS_jobs!$Q414&lt;=20),"average_age_company","Big_age_company"))</f>
        <v>little_age_company</v>
      </c>
    </row>
    <row r="415" spans="1:18" ht="19.95" customHeight="1" x14ac:dyDescent="0.3">
      <c r="A415" s="18" t="s">
        <v>26</v>
      </c>
      <c r="B415" s="19" t="s">
        <v>1721</v>
      </c>
      <c r="C415" s="19">
        <v>3.4</v>
      </c>
      <c r="D415" s="20" t="s">
        <v>2256</v>
      </c>
      <c r="E415" s="19" t="s">
        <v>311</v>
      </c>
      <c r="F415" s="21" t="s">
        <v>1925</v>
      </c>
      <c r="G415" s="21" t="s">
        <v>117</v>
      </c>
      <c r="H415" s="19">
        <v>-1</v>
      </c>
      <c r="I415" s="21" t="s">
        <v>53</v>
      </c>
      <c r="J415" s="21" t="s">
        <v>54</v>
      </c>
      <c r="K415" s="21" t="s">
        <v>34</v>
      </c>
      <c r="L415" s="21" t="s">
        <v>212</v>
      </c>
      <c r="M415" s="21">
        <v>-1</v>
      </c>
      <c r="N415" s="19">
        <v>124</v>
      </c>
      <c r="O415" s="19">
        <v>198</v>
      </c>
      <c r="P415" s="19">
        <v>161</v>
      </c>
      <c r="Q415" s="19">
        <v>-1</v>
      </c>
      <c r="R415" s="22" t="str">
        <f>IF(Cleaned_DS_jobs!$Q415&lt;10,"little_age_company",IF(AND(Cleaned_DS_jobs!$Q415&gt;=10,Cleaned_DS_jobs!$Q415&lt;=20),"average_age_company","Big_age_company"))</f>
        <v>little_age_company</v>
      </c>
    </row>
    <row r="416" spans="1:18" ht="19.95" customHeight="1" x14ac:dyDescent="0.3">
      <c r="A416" s="13" t="s">
        <v>26</v>
      </c>
      <c r="B416" s="14" t="s">
        <v>1721</v>
      </c>
      <c r="C416" s="14">
        <v>4.0999999999999996</v>
      </c>
      <c r="D416" s="15" t="s">
        <v>2257</v>
      </c>
      <c r="E416" s="14" t="s">
        <v>111</v>
      </c>
      <c r="F416" s="16" t="s">
        <v>1926</v>
      </c>
      <c r="G416" s="16" t="s">
        <v>117</v>
      </c>
      <c r="H416" s="14">
        <v>-1</v>
      </c>
      <c r="I416" s="16" t="s">
        <v>53</v>
      </c>
      <c r="J416" s="16" t="s">
        <v>40</v>
      </c>
      <c r="K416" s="16" t="s">
        <v>34</v>
      </c>
      <c r="L416" s="16" t="s">
        <v>212</v>
      </c>
      <c r="M416" s="16">
        <v>-1</v>
      </c>
      <c r="N416" s="14">
        <v>124</v>
      </c>
      <c r="O416" s="14">
        <v>198</v>
      </c>
      <c r="P416" s="14">
        <v>161</v>
      </c>
      <c r="Q416" s="14">
        <v>-1</v>
      </c>
      <c r="R416" s="17" t="str">
        <f>IF(Cleaned_DS_jobs!$Q416&lt;10,"little_age_company",IF(AND(Cleaned_DS_jobs!$Q416&gt;=10,Cleaned_DS_jobs!$Q416&lt;=20),"average_age_company","Big_age_company"))</f>
        <v>little_age_company</v>
      </c>
    </row>
    <row r="417" spans="1:18" ht="19.95" customHeight="1" x14ac:dyDescent="0.3">
      <c r="A417" s="18" t="s">
        <v>26</v>
      </c>
      <c r="B417" s="19" t="s">
        <v>1721</v>
      </c>
      <c r="C417" s="19">
        <v>5</v>
      </c>
      <c r="D417" s="20" t="s">
        <v>2258</v>
      </c>
      <c r="E417" s="19" t="s">
        <v>402</v>
      </c>
      <c r="F417" s="21" t="s">
        <v>1840</v>
      </c>
      <c r="G417" s="21" t="s">
        <v>52</v>
      </c>
      <c r="H417" s="19">
        <v>2014</v>
      </c>
      <c r="I417" s="21" t="s">
        <v>53</v>
      </c>
      <c r="J417" s="21" t="s">
        <v>175</v>
      </c>
      <c r="K417" s="21" t="s">
        <v>175</v>
      </c>
      <c r="L417" s="21" t="s">
        <v>160</v>
      </c>
      <c r="M417" s="21">
        <v>-1</v>
      </c>
      <c r="N417" s="19">
        <v>124</v>
      </c>
      <c r="O417" s="19">
        <v>198</v>
      </c>
      <c r="P417" s="19">
        <v>161</v>
      </c>
      <c r="Q417" s="19">
        <v>12</v>
      </c>
      <c r="R417" s="22" t="str">
        <f>IF(Cleaned_DS_jobs!$Q417&lt;10,"little_age_company",IF(AND(Cleaned_DS_jobs!$Q417&gt;=10,Cleaned_DS_jobs!$Q417&lt;=20),"average_age_company","Big_age_company"))</f>
        <v>average_age_company</v>
      </c>
    </row>
    <row r="418" spans="1:18" ht="19.95" customHeight="1" x14ac:dyDescent="0.3">
      <c r="A418" s="13" t="s">
        <v>26</v>
      </c>
      <c r="B418" s="14" t="s">
        <v>1721</v>
      </c>
      <c r="C418" s="14">
        <v>4.2</v>
      </c>
      <c r="D418" s="15" t="s">
        <v>2259</v>
      </c>
      <c r="E418" s="14" t="s">
        <v>151</v>
      </c>
      <c r="F418" s="16" t="s">
        <v>1885</v>
      </c>
      <c r="G418" s="16" t="s">
        <v>107</v>
      </c>
      <c r="H418" s="14">
        <v>1999</v>
      </c>
      <c r="I418" s="16" t="s">
        <v>301</v>
      </c>
      <c r="J418" s="16" t="s">
        <v>286</v>
      </c>
      <c r="K418" s="16" t="s">
        <v>34</v>
      </c>
      <c r="L418" s="16" t="s">
        <v>41</v>
      </c>
      <c r="M418" s="16">
        <v>-1</v>
      </c>
      <c r="N418" s="14">
        <v>124</v>
      </c>
      <c r="O418" s="14">
        <v>198</v>
      </c>
      <c r="P418" s="14">
        <v>161</v>
      </c>
      <c r="Q418" s="14">
        <v>27</v>
      </c>
      <c r="R418" s="17" t="str">
        <f>IF(Cleaned_DS_jobs!$Q418&lt;10,"little_age_company",IF(AND(Cleaned_DS_jobs!$Q418&gt;=10,Cleaned_DS_jobs!$Q418&lt;=20),"average_age_company","Big_age_company"))</f>
        <v>Big_age_company</v>
      </c>
    </row>
    <row r="419" spans="1:18" ht="19.95" customHeight="1" x14ac:dyDescent="0.3">
      <c r="A419" s="18" t="s">
        <v>26</v>
      </c>
      <c r="B419" s="19" t="s">
        <v>1721</v>
      </c>
      <c r="C419" s="19">
        <v>3.7</v>
      </c>
      <c r="D419" s="20" t="s">
        <v>2260</v>
      </c>
      <c r="E419" s="19" t="s">
        <v>1235</v>
      </c>
      <c r="F419" s="21" t="s">
        <v>1753</v>
      </c>
      <c r="G419" s="21" t="s">
        <v>66</v>
      </c>
      <c r="H419" s="19">
        <v>1914</v>
      </c>
      <c r="I419" s="21" t="s">
        <v>32</v>
      </c>
      <c r="J419" s="21" t="s">
        <v>40</v>
      </c>
      <c r="K419" s="21" t="s">
        <v>34</v>
      </c>
      <c r="L419" s="21" t="s">
        <v>132</v>
      </c>
      <c r="M419" s="21" t="s">
        <v>1236</v>
      </c>
      <c r="N419" s="19">
        <v>124</v>
      </c>
      <c r="O419" s="19">
        <v>198</v>
      </c>
      <c r="P419" s="19">
        <v>161</v>
      </c>
      <c r="Q419" s="19">
        <v>112</v>
      </c>
      <c r="R419" s="22" t="str">
        <f>IF(Cleaned_DS_jobs!$Q419&lt;10,"little_age_company",IF(AND(Cleaned_DS_jobs!$Q419&gt;=10,Cleaned_DS_jobs!$Q419&lt;=20),"average_age_company","Big_age_company"))</f>
        <v>Big_age_company</v>
      </c>
    </row>
    <row r="420" spans="1:18" ht="19.95" customHeight="1" x14ac:dyDescent="0.3">
      <c r="A420" s="13" t="s">
        <v>26</v>
      </c>
      <c r="B420" s="14" t="s">
        <v>1721</v>
      </c>
      <c r="C420" s="14">
        <v>3.8</v>
      </c>
      <c r="D420" s="15" t="s">
        <v>2261</v>
      </c>
      <c r="E420" s="14" t="s">
        <v>1239</v>
      </c>
      <c r="F420" s="16" t="s">
        <v>1927</v>
      </c>
      <c r="G420" s="16" t="s">
        <v>31</v>
      </c>
      <c r="H420" s="14">
        <v>1898</v>
      </c>
      <c r="I420" s="16" t="s">
        <v>53</v>
      </c>
      <c r="J420" s="16" t="s">
        <v>918</v>
      </c>
      <c r="K420" s="16" t="s">
        <v>34</v>
      </c>
      <c r="L420" s="16" t="s">
        <v>35</v>
      </c>
      <c r="M420" s="16" t="s">
        <v>1240</v>
      </c>
      <c r="N420" s="14">
        <v>124</v>
      </c>
      <c r="O420" s="14">
        <v>198</v>
      </c>
      <c r="P420" s="14">
        <v>161</v>
      </c>
      <c r="Q420" s="14">
        <v>128</v>
      </c>
      <c r="R420" s="17" t="str">
        <f>IF(Cleaned_DS_jobs!$Q420&lt;10,"little_age_company",IF(AND(Cleaned_DS_jobs!$Q420&gt;=10,Cleaned_DS_jobs!$Q420&lt;=20),"average_age_company","Big_age_company"))</f>
        <v>Big_age_company</v>
      </c>
    </row>
    <row r="421" spans="1:18" ht="19.95" customHeight="1" x14ac:dyDescent="0.3">
      <c r="A421" s="18" t="s">
        <v>26</v>
      </c>
      <c r="B421" s="19" t="s">
        <v>1721</v>
      </c>
      <c r="C421" s="19">
        <v>4.8</v>
      </c>
      <c r="D421" s="20" t="s">
        <v>2262</v>
      </c>
      <c r="E421" s="19" t="s">
        <v>699</v>
      </c>
      <c r="F421" s="21" t="s">
        <v>1928</v>
      </c>
      <c r="G421" s="21" t="s">
        <v>107</v>
      </c>
      <c r="H421" s="19">
        <v>2010</v>
      </c>
      <c r="I421" s="21" t="s">
        <v>53</v>
      </c>
      <c r="J421" s="21" t="s">
        <v>92</v>
      </c>
      <c r="K421" s="21" t="s">
        <v>60</v>
      </c>
      <c r="L421" s="21" t="s">
        <v>212</v>
      </c>
      <c r="M421" s="21">
        <v>-1</v>
      </c>
      <c r="N421" s="19">
        <v>124</v>
      </c>
      <c r="O421" s="19">
        <v>198</v>
      </c>
      <c r="P421" s="19">
        <v>161</v>
      </c>
      <c r="Q421" s="19">
        <v>16</v>
      </c>
      <c r="R421" s="22" t="str">
        <f>IF(Cleaned_DS_jobs!$Q421&lt;10,"little_age_company",IF(AND(Cleaned_DS_jobs!$Q421&gt;=10,Cleaned_DS_jobs!$Q421&lt;=20),"average_age_company","Big_age_company"))</f>
        <v>average_age_company</v>
      </c>
    </row>
    <row r="422" spans="1:18" ht="19.95" customHeight="1" x14ac:dyDescent="0.3">
      <c r="A422" s="13" t="s">
        <v>26</v>
      </c>
      <c r="B422" s="14" t="s">
        <v>1721</v>
      </c>
      <c r="C422" s="14">
        <v>3.5</v>
      </c>
      <c r="D422" s="15" t="s">
        <v>2263</v>
      </c>
      <c r="E422" s="14" t="s">
        <v>1246</v>
      </c>
      <c r="F422" s="16" t="s">
        <v>1764</v>
      </c>
      <c r="G422" s="16" t="s">
        <v>66</v>
      </c>
      <c r="H422" s="14">
        <v>1948</v>
      </c>
      <c r="I422" s="16" t="s">
        <v>32</v>
      </c>
      <c r="J422" s="16" t="s">
        <v>286</v>
      </c>
      <c r="K422" s="16" t="s">
        <v>34</v>
      </c>
      <c r="L422" s="16" t="s">
        <v>79</v>
      </c>
      <c r="M422" s="16" t="s">
        <v>1247</v>
      </c>
      <c r="N422" s="14">
        <v>124</v>
      </c>
      <c r="O422" s="14">
        <v>198</v>
      </c>
      <c r="P422" s="14">
        <v>161</v>
      </c>
      <c r="Q422" s="14">
        <v>78</v>
      </c>
      <c r="R422" s="17" t="str">
        <f>IF(Cleaned_DS_jobs!$Q422&lt;10,"little_age_company",IF(AND(Cleaned_DS_jobs!$Q422&gt;=10,Cleaned_DS_jobs!$Q422&lt;=20),"average_age_company","Big_age_company"))</f>
        <v>Big_age_company</v>
      </c>
    </row>
    <row r="423" spans="1:18" ht="19.95" customHeight="1" x14ac:dyDescent="0.3">
      <c r="A423" s="18" t="s">
        <v>713</v>
      </c>
      <c r="B423" s="19" t="s">
        <v>1721</v>
      </c>
      <c r="C423" s="19">
        <v>4.5999999999999996</v>
      </c>
      <c r="D423" s="20" t="s">
        <v>2130</v>
      </c>
      <c r="E423" s="19" t="s">
        <v>716</v>
      </c>
      <c r="F423" s="21" t="s">
        <v>1850</v>
      </c>
      <c r="G423" s="21" t="s">
        <v>46</v>
      </c>
      <c r="H423" s="19">
        <v>1992</v>
      </c>
      <c r="I423" s="21" t="s">
        <v>53</v>
      </c>
      <c r="J423" s="21" t="s">
        <v>520</v>
      </c>
      <c r="K423" s="21" t="s">
        <v>170</v>
      </c>
      <c r="L423" s="21" t="s">
        <v>41</v>
      </c>
      <c r="M423" s="21">
        <v>-1</v>
      </c>
      <c r="N423" s="19">
        <v>124</v>
      </c>
      <c r="O423" s="19">
        <v>198</v>
      </c>
      <c r="P423" s="19">
        <v>161</v>
      </c>
      <c r="Q423" s="19">
        <v>34</v>
      </c>
      <c r="R423" s="22" t="str">
        <f>IF(Cleaned_DS_jobs!$Q423&lt;10,"little_age_company",IF(AND(Cleaned_DS_jobs!$Q423&gt;=10,Cleaned_DS_jobs!$Q423&lt;=20),"average_age_company","Big_age_company"))</f>
        <v>Big_age_company</v>
      </c>
    </row>
    <row r="424" spans="1:18" ht="19.95" customHeight="1" x14ac:dyDescent="0.3">
      <c r="A424" s="13" t="s">
        <v>26</v>
      </c>
      <c r="B424" s="14" t="s">
        <v>1721</v>
      </c>
      <c r="C424" s="14">
        <v>4.5</v>
      </c>
      <c r="D424" s="15" t="s">
        <v>2264</v>
      </c>
      <c r="E424" s="14" t="s">
        <v>1250</v>
      </c>
      <c r="F424" s="16" t="s">
        <v>1929</v>
      </c>
      <c r="G424" s="16" t="s">
        <v>117</v>
      </c>
      <c r="H424" s="14">
        <v>-1</v>
      </c>
      <c r="I424" s="16" t="s">
        <v>53</v>
      </c>
      <c r="J424" s="16" t="s">
        <v>1252</v>
      </c>
      <c r="K424" s="16" t="s">
        <v>1253</v>
      </c>
      <c r="L424" s="16" t="s">
        <v>431</v>
      </c>
      <c r="M424" s="16">
        <v>-1</v>
      </c>
      <c r="N424" s="14">
        <v>124</v>
      </c>
      <c r="O424" s="14">
        <v>198</v>
      </c>
      <c r="P424" s="14">
        <v>161</v>
      </c>
      <c r="Q424" s="14">
        <v>-1</v>
      </c>
      <c r="R424" s="17" t="str">
        <f>IF(Cleaned_DS_jobs!$Q424&lt;10,"little_age_company",IF(AND(Cleaned_DS_jobs!$Q424&gt;=10,Cleaned_DS_jobs!$Q424&lt;=20),"average_age_company","Big_age_company"))</f>
        <v>little_age_company</v>
      </c>
    </row>
    <row r="425" spans="1:18" ht="19.95" customHeight="1" x14ac:dyDescent="0.3">
      <c r="A425" s="18" t="s">
        <v>26</v>
      </c>
      <c r="B425" s="19" t="s">
        <v>1721</v>
      </c>
      <c r="C425" s="19">
        <v>3.9</v>
      </c>
      <c r="D425" s="20" t="s">
        <v>2204</v>
      </c>
      <c r="E425" s="19" t="s">
        <v>1008</v>
      </c>
      <c r="F425" s="21" t="s">
        <v>1869</v>
      </c>
      <c r="G425" s="21" t="s">
        <v>20</v>
      </c>
      <c r="H425" s="19">
        <v>2005</v>
      </c>
      <c r="I425" s="21" t="s">
        <v>32</v>
      </c>
      <c r="J425" s="21" t="s">
        <v>123</v>
      </c>
      <c r="K425" s="21" t="s">
        <v>60</v>
      </c>
      <c r="L425" s="21" t="s">
        <v>79</v>
      </c>
      <c r="M425" s="21" t="s">
        <v>1009</v>
      </c>
      <c r="N425" s="19">
        <v>124</v>
      </c>
      <c r="O425" s="19">
        <v>198</v>
      </c>
      <c r="P425" s="19">
        <v>161</v>
      </c>
      <c r="Q425" s="19">
        <v>21</v>
      </c>
      <c r="R425" s="22" t="str">
        <f>IF(Cleaned_DS_jobs!$Q425&lt;10,"little_age_company",IF(AND(Cleaned_DS_jobs!$Q425&gt;=10,Cleaned_DS_jobs!$Q425&lt;=20),"average_age_company","Big_age_company"))</f>
        <v>Big_age_company</v>
      </c>
    </row>
    <row r="426" spans="1:18" ht="19.95" customHeight="1" x14ac:dyDescent="0.3">
      <c r="A426" s="13" t="s">
        <v>26</v>
      </c>
      <c r="B426" s="14" t="s">
        <v>1721</v>
      </c>
      <c r="C426" s="14">
        <v>3.4</v>
      </c>
      <c r="D426" s="15" t="s">
        <v>2265</v>
      </c>
      <c r="E426" s="14" t="s">
        <v>1256</v>
      </c>
      <c r="F426" s="16">
        <v>-1</v>
      </c>
      <c r="G426" s="16" t="s">
        <v>688</v>
      </c>
      <c r="H426" s="14">
        <v>-1</v>
      </c>
      <c r="I426" s="16" t="s">
        <v>53</v>
      </c>
      <c r="J426" s="16" t="s">
        <v>1972</v>
      </c>
      <c r="K426" s="16" t="s">
        <v>1972</v>
      </c>
      <c r="L426" s="16" t="s">
        <v>24</v>
      </c>
      <c r="M426" s="16">
        <v>-1</v>
      </c>
      <c r="N426" s="14">
        <v>124</v>
      </c>
      <c r="O426" s="14">
        <v>198</v>
      </c>
      <c r="P426" s="14">
        <v>161</v>
      </c>
      <c r="Q426" s="14">
        <v>-1</v>
      </c>
      <c r="R426" s="17" t="str">
        <f>IF(Cleaned_DS_jobs!$Q426&lt;10,"little_age_company",IF(AND(Cleaned_DS_jobs!$Q426&gt;=10,Cleaned_DS_jobs!$Q426&lt;=20),"average_age_company","Big_age_company"))</f>
        <v>little_age_company</v>
      </c>
    </row>
    <row r="427" spans="1:18" ht="19.95" customHeight="1" x14ac:dyDescent="0.3">
      <c r="A427" s="18" t="s">
        <v>26</v>
      </c>
      <c r="B427" s="19" t="s">
        <v>1721</v>
      </c>
      <c r="C427" s="19">
        <v>-1</v>
      </c>
      <c r="D427" s="20" t="s">
        <v>1016</v>
      </c>
      <c r="E427" s="19" t="s">
        <v>19</v>
      </c>
      <c r="F427" s="21" t="s">
        <v>1757</v>
      </c>
      <c r="G427" s="21" t="s">
        <v>117</v>
      </c>
      <c r="H427" s="19">
        <v>-1</v>
      </c>
      <c r="I427" s="21" t="s">
        <v>53</v>
      </c>
      <c r="J427" s="21" t="s">
        <v>40</v>
      </c>
      <c r="K427" s="21" t="s">
        <v>34</v>
      </c>
      <c r="L427" s="21" t="s">
        <v>212</v>
      </c>
      <c r="M427" s="21">
        <v>-1</v>
      </c>
      <c r="N427" s="19">
        <v>124</v>
      </c>
      <c r="O427" s="19">
        <v>198</v>
      </c>
      <c r="P427" s="19">
        <v>161</v>
      </c>
      <c r="Q427" s="19">
        <v>-1</v>
      </c>
      <c r="R427" s="22" t="str">
        <f>IF(Cleaned_DS_jobs!$Q427&lt;10,"little_age_company",IF(AND(Cleaned_DS_jobs!$Q427&gt;=10,Cleaned_DS_jobs!$Q427&lt;=20),"average_age_company","Big_age_company"))</f>
        <v>little_age_company</v>
      </c>
    </row>
    <row r="428" spans="1:18" ht="19.95" customHeight="1" x14ac:dyDescent="0.3">
      <c r="A428" s="13" t="s">
        <v>26</v>
      </c>
      <c r="B428" s="14" t="s">
        <v>1721</v>
      </c>
      <c r="C428" s="14">
        <v>4.0999999999999996</v>
      </c>
      <c r="D428" s="15" t="s">
        <v>2131</v>
      </c>
      <c r="E428" s="14" t="s">
        <v>178</v>
      </c>
      <c r="F428" s="16" t="s">
        <v>1851</v>
      </c>
      <c r="G428" s="16" t="s">
        <v>52</v>
      </c>
      <c r="H428" s="14">
        <v>2008</v>
      </c>
      <c r="I428" s="16" t="s">
        <v>53</v>
      </c>
      <c r="J428" s="16" t="s">
        <v>40</v>
      </c>
      <c r="K428" s="16" t="s">
        <v>34</v>
      </c>
      <c r="L428" s="16" t="s">
        <v>160</v>
      </c>
      <c r="M428" s="16">
        <v>-1</v>
      </c>
      <c r="N428" s="14">
        <v>124</v>
      </c>
      <c r="O428" s="14">
        <v>198</v>
      </c>
      <c r="P428" s="14">
        <v>161</v>
      </c>
      <c r="Q428" s="14">
        <v>18</v>
      </c>
      <c r="R428" s="17" t="str">
        <f>IF(Cleaned_DS_jobs!$Q428&lt;10,"little_age_company",IF(AND(Cleaned_DS_jobs!$Q428&gt;=10,Cleaned_DS_jobs!$Q428&lt;=20),"average_age_company","Big_age_company"))</f>
        <v>average_age_company</v>
      </c>
    </row>
    <row r="429" spans="1:18" ht="19.95" customHeight="1" x14ac:dyDescent="0.3">
      <c r="A429" s="18" t="s">
        <v>26</v>
      </c>
      <c r="B429" s="19" t="s">
        <v>1722</v>
      </c>
      <c r="C429" s="19">
        <v>3.7</v>
      </c>
      <c r="D429" s="20" t="s">
        <v>2035</v>
      </c>
      <c r="E429" s="19" t="s">
        <v>19</v>
      </c>
      <c r="F429" s="21" t="s">
        <v>1744</v>
      </c>
      <c r="G429" s="21" t="s">
        <v>46</v>
      </c>
      <c r="H429" s="19">
        <v>2012</v>
      </c>
      <c r="I429" s="21" t="s">
        <v>53</v>
      </c>
      <c r="J429" s="21" t="s">
        <v>123</v>
      </c>
      <c r="K429" s="21" t="s">
        <v>60</v>
      </c>
      <c r="L429" s="21" t="s">
        <v>24</v>
      </c>
      <c r="M429" s="21">
        <v>-1</v>
      </c>
      <c r="N429" s="19">
        <v>79</v>
      </c>
      <c r="O429" s="19">
        <v>133</v>
      </c>
      <c r="P429" s="19">
        <v>106</v>
      </c>
      <c r="Q429" s="19">
        <v>14</v>
      </c>
      <c r="R429" s="22" t="str">
        <f>IF(Cleaned_DS_jobs!$Q429&lt;10,"little_age_company",IF(AND(Cleaned_DS_jobs!$Q429&gt;=10,Cleaned_DS_jobs!$Q429&lt;=20),"average_age_company","Big_age_company"))</f>
        <v>average_age_company</v>
      </c>
    </row>
    <row r="430" spans="1:18" ht="19.95" customHeight="1" x14ac:dyDescent="0.3">
      <c r="A430" s="13" t="s">
        <v>240</v>
      </c>
      <c r="B430" s="14" t="s">
        <v>1722</v>
      </c>
      <c r="C430" s="14">
        <v>3.5</v>
      </c>
      <c r="D430" s="15" t="s">
        <v>2027</v>
      </c>
      <c r="E430" s="14" t="s">
        <v>91</v>
      </c>
      <c r="F430" s="16" t="s">
        <v>1754</v>
      </c>
      <c r="G430" s="16" t="s">
        <v>107</v>
      </c>
      <c r="H430" s="14">
        <v>2012</v>
      </c>
      <c r="I430" s="16" t="s">
        <v>53</v>
      </c>
      <c r="J430" s="16" t="s">
        <v>67</v>
      </c>
      <c r="K430" s="16" t="s">
        <v>67</v>
      </c>
      <c r="L430" s="16" t="s">
        <v>212</v>
      </c>
      <c r="M430" s="16">
        <v>-1</v>
      </c>
      <c r="N430" s="14">
        <v>79</v>
      </c>
      <c r="O430" s="14">
        <v>133</v>
      </c>
      <c r="P430" s="14">
        <v>106</v>
      </c>
      <c r="Q430" s="14">
        <v>14</v>
      </c>
      <c r="R430" s="17" t="str">
        <f>IF(Cleaned_DS_jobs!$Q430&lt;10,"little_age_company",IF(AND(Cleaned_DS_jobs!$Q430&gt;=10,Cleaned_DS_jobs!$Q430&lt;=20),"average_age_company","Big_age_company"))</f>
        <v>average_age_company</v>
      </c>
    </row>
    <row r="431" spans="1:18" ht="19.95" customHeight="1" x14ac:dyDescent="0.3">
      <c r="A431" s="18" t="s">
        <v>26</v>
      </c>
      <c r="B431" s="19" t="s">
        <v>1722</v>
      </c>
      <c r="C431" s="19">
        <v>4.5999999999999996</v>
      </c>
      <c r="D431" s="20" t="s">
        <v>2207</v>
      </c>
      <c r="E431" s="19" t="s">
        <v>1019</v>
      </c>
      <c r="F431" s="21" t="s">
        <v>1760</v>
      </c>
      <c r="G431" s="21" t="s">
        <v>52</v>
      </c>
      <c r="H431" s="19">
        <v>-1</v>
      </c>
      <c r="I431" s="21" t="s">
        <v>53</v>
      </c>
      <c r="J431" s="21" t="s">
        <v>40</v>
      </c>
      <c r="K431" s="21" t="s">
        <v>34</v>
      </c>
      <c r="L431" s="21" t="s">
        <v>403</v>
      </c>
      <c r="M431" s="21">
        <v>-1</v>
      </c>
      <c r="N431" s="19">
        <v>79</v>
      </c>
      <c r="O431" s="19">
        <v>133</v>
      </c>
      <c r="P431" s="19">
        <v>106</v>
      </c>
      <c r="Q431" s="19">
        <v>-1</v>
      </c>
      <c r="R431" s="22" t="str">
        <f>IF(Cleaned_DS_jobs!$Q431&lt;10,"little_age_company",IF(AND(Cleaned_DS_jobs!$Q431&gt;=10,Cleaned_DS_jobs!$Q431&lt;=20),"average_age_company","Big_age_company"))</f>
        <v>little_age_company</v>
      </c>
    </row>
    <row r="432" spans="1:18" ht="19.95" customHeight="1" x14ac:dyDescent="0.3">
      <c r="A432" s="13" t="s">
        <v>26</v>
      </c>
      <c r="B432" s="14" t="s">
        <v>1722</v>
      </c>
      <c r="C432" s="14">
        <v>-1</v>
      </c>
      <c r="D432" s="15" t="s">
        <v>1737</v>
      </c>
      <c r="E432" s="14" t="s">
        <v>722</v>
      </c>
      <c r="F432" s="16" t="s">
        <v>1759</v>
      </c>
      <c r="G432" s="16" t="s">
        <v>688</v>
      </c>
      <c r="H432" s="14">
        <v>-1</v>
      </c>
      <c r="I432" s="16" t="s">
        <v>32</v>
      </c>
      <c r="J432" s="16" t="s">
        <v>1972</v>
      </c>
      <c r="K432" s="16" t="s">
        <v>1972</v>
      </c>
      <c r="L432" s="16" t="s">
        <v>24</v>
      </c>
      <c r="M432" s="16">
        <v>-1</v>
      </c>
      <c r="N432" s="14">
        <v>79</v>
      </c>
      <c r="O432" s="14">
        <v>133</v>
      </c>
      <c r="P432" s="14">
        <v>106</v>
      </c>
      <c r="Q432" s="14">
        <v>-1</v>
      </c>
      <c r="R432" s="17" t="str">
        <f>IF(Cleaned_DS_jobs!$Q432&lt;10,"little_age_company",IF(AND(Cleaned_DS_jobs!$Q432&gt;=10,Cleaned_DS_jobs!$Q432&lt;=20),"average_age_company","Big_age_company"))</f>
        <v>little_age_company</v>
      </c>
    </row>
    <row r="433" spans="1:18" ht="19.95" customHeight="1" x14ac:dyDescent="0.3">
      <c r="A433" s="18" t="s">
        <v>26</v>
      </c>
      <c r="B433" s="19" t="s">
        <v>1722</v>
      </c>
      <c r="C433" s="19">
        <v>-1</v>
      </c>
      <c r="D433" s="20" t="s">
        <v>1735</v>
      </c>
      <c r="E433" s="19" t="s">
        <v>647</v>
      </c>
      <c r="F433" s="21" t="s">
        <v>1901</v>
      </c>
      <c r="G433" s="21" t="s">
        <v>117</v>
      </c>
      <c r="H433" s="19">
        <v>-1</v>
      </c>
      <c r="I433" s="21" t="s">
        <v>53</v>
      </c>
      <c r="J433" s="21" t="s">
        <v>1972</v>
      </c>
      <c r="K433" s="21" t="s">
        <v>1972</v>
      </c>
      <c r="L433" s="21" t="s">
        <v>24</v>
      </c>
      <c r="M433" s="21">
        <v>-1</v>
      </c>
      <c r="N433" s="19">
        <v>79</v>
      </c>
      <c r="O433" s="19">
        <v>133</v>
      </c>
      <c r="P433" s="19">
        <v>106</v>
      </c>
      <c r="Q433" s="19">
        <v>-1</v>
      </c>
      <c r="R433" s="22" t="str">
        <f>IF(Cleaned_DS_jobs!$Q433&lt;10,"little_age_company",IF(AND(Cleaned_DS_jobs!$Q433&gt;=10,Cleaned_DS_jobs!$Q433&lt;=20),"average_age_company","Big_age_company"))</f>
        <v>little_age_company</v>
      </c>
    </row>
    <row r="434" spans="1:18" ht="19.95" customHeight="1" x14ac:dyDescent="0.3">
      <c r="A434" s="13" t="s">
        <v>189</v>
      </c>
      <c r="B434" s="14" t="s">
        <v>1722</v>
      </c>
      <c r="C434" s="14">
        <v>4.4000000000000004</v>
      </c>
      <c r="D434" s="15" t="s">
        <v>2133</v>
      </c>
      <c r="E434" s="14" t="s">
        <v>143</v>
      </c>
      <c r="F434" s="16" t="s">
        <v>1763</v>
      </c>
      <c r="G434" s="16" t="s">
        <v>52</v>
      </c>
      <c r="H434" s="14">
        <v>2008</v>
      </c>
      <c r="I434" s="16" t="s">
        <v>53</v>
      </c>
      <c r="J434" s="16" t="s">
        <v>59</v>
      </c>
      <c r="K434" s="16" t="s">
        <v>60</v>
      </c>
      <c r="L434" s="16" t="s">
        <v>194</v>
      </c>
      <c r="M434" s="16">
        <v>-1</v>
      </c>
      <c r="N434" s="14">
        <v>79</v>
      </c>
      <c r="O434" s="14">
        <v>133</v>
      </c>
      <c r="P434" s="14">
        <v>106</v>
      </c>
      <c r="Q434" s="14">
        <v>18</v>
      </c>
      <c r="R434" s="17" t="str">
        <f>IF(Cleaned_DS_jobs!$Q434&lt;10,"little_age_company",IF(AND(Cleaned_DS_jobs!$Q434&gt;=10,Cleaned_DS_jobs!$Q434&lt;=20),"average_age_company","Big_age_company"))</f>
        <v>average_age_company</v>
      </c>
    </row>
    <row r="435" spans="1:18" ht="19.95" customHeight="1" x14ac:dyDescent="0.3">
      <c r="A435" s="18" t="s">
        <v>26</v>
      </c>
      <c r="B435" s="19" t="s">
        <v>1722</v>
      </c>
      <c r="C435" s="19">
        <v>3.6</v>
      </c>
      <c r="D435" s="20" t="s">
        <v>2266</v>
      </c>
      <c r="E435" s="19" t="s">
        <v>1262</v>
      </c>
      <c r="F435" s="21" t="s">
        <v>1930</v>
      </c>
      <c r="G435" s="21" t="s">
        <v>52</v>
      </c>
      <c r="H435" s="19">
        <v>-1</v>
      </c>
      <c r="I435" s="21" t="s">
        <v>53</v>
      </c>
      <c r="J435" s="21" t="s">
        <v>92</v>
      </c>
      <c r="K435" s="21" t="s">
        <v>60</v>
      </c>
      <c r="L435" s="21" t="s">
        <v>24</v>
      </c>
      <c r="M435" s="21" t="s">
        <v>1263</v>
      </c>
      <c r="N435" s="19">
        <v>79</v>
      </c>
      <c r="O435" s="19">
        <v>133</v>
      </c>
      <c r="P435" s="19">
        <v>106</v>
      </c>
      <c r="Q435" s="19">
        <v>-1</v>
      </c>
      <c r="R435" s="22" t="str">
        <f>IF(Cleaned_DS_jobs!$Q435&lt;10,"little_age_company",IF(AND(Cleaned_DS_jobs!$Q435&gt;=10,Cleaned_DS_jobs!$Q435&lt;=20),"average_age_company","Big_age_company"))</f>
        <v>little_age_company</v>
      </c>
    </row>
    <row r="436" spans="1:18" ht="19.95" customHeight="1" x14ac:dyDescent="0.3">
      <c r="A436" s="13" t="s">
        <v>26</v>
      </c>
      <c r="B436" s="14" t="s">
        <v>1722</v>
      </c>
      <c r="C436" s="14">
        <v>3.1</v>
      </c>
      <c r="D436" s="15" t="s">
        <v>2267</v>
      </c>
      <c r="E436" s="14" t="s">
        <v>1266</v>
      </c>
      <c r="F436" s="16" t="s">
        <v>1931</v>
      </c>
      <c r="G436" s="16" t="s">
        <v>66</v>
      </c>
      <c r="H436" s="14">
        <v>1956</v>
      </c>
      <c r="I436" s="16" t="s">
        <v>32</v>
      </c>
      <c r="J436" s="16" t="s">
        <v>1267</v>
      </c>
      <c r="K436" s="16" t="s">
        <v>281</v>
      </c>
      <c r="L436" s="16" t="s">
        <v>79</v>
      </c>
      <c r="M436" s="16">
        <v>-1</v>
      </c>
      <c r="N436" s="14">
        <v>79</v>
      </c>
      <c r="O436" s="14">
        <v>133</v>
      </c>
      <c r="P436" s="14">
        <v>106</v>
      </c>
      <c r="Q436" s="14">
        <v>70</v>
      </c>
      <c r="R436" s="17" t="str">
        <f>IF(Cleaned_DS_jobs!$Q436&lt;10,"little_age_company",IF(AND(Cleaned_DS_jobs!$Q436&gt;=10,Cleaned_DS_jobs!$Q436&lt;=20),"average_age_company","Big_age_company"))</f>
        <v>Big_age_company</v>
      </c>
    </row>
    <row r="437" spans="1:18" ht="19.95" customHeight="1" x14ac:dyDescent="0.3">
      <c r="A437" s="18" t="s">
        <v>26</v>
      </c>
      <c r="B437" s="19" t="s">
        <v>1722</v>
      </c>
      <c r="C437" s="19">
        <v>5</v>
      </c>
      <c r="D437" s="20" t="s">
        <v>2268</v>
      </c>
      <c r="E437" s="19" t="s">
        <v>178</v>
      </c>
      <c r="F437" s="21" t="s">
        <v>1806</v>
      </c>
      <c r="G437" s="21" t="s">
        <v>117</v>
      </c>
      <c r="H437" s="19">
        <v>-1</v>
      </c>
      <c r="I437" s="21" t="s">
        <v>53</v>
      </c>
      <c r="J437" s="21" t="s">
        <v>1972</v>
      </c>
      <c r="K437" s="21" t="s">
        <v>1972</v>
      </c>
      <c r="L437" s="21" t="s">
        <v>212</v>
      </c>
      <c r="M437" s="21">
        <v>-1</v>
      </c>
      <c r="N437" s="19">
        <v>79</v>
      </c>
      <c r="O437" s="19">
        <v>133</v>
      </c>
      <c r="P437" s="19">
        <v>106</v>
      </c>
      <c r="Q437" s="19">
        <v>-1</v>
      </c>
      <c r="R437" s="22" t="str">
        <f>IF(Cleaned_DS_jobs!$Q437&lt;10,"little_age_company",IF(AND(Cleaned_DS_jobs!$Q437&gt;=10,Cleaned_DS_jobs!$Q437&lt;=20),"average_age_company","Big_age_company"))</f>
        <v>little_age_company</v>
      </c>
    </row>
    <row r="438" spans="1:18" ht="19.95" customHeight="1" x14ac:dyDescent="0.3">
      <c r="A438" s="13" t="s">
        <v>316</v>
      </c>
      <c r="B438" s="14" t="s">
        <v>1722</v>
      </c>
      <c r="C438" s="14">
        <v>5</v>
      </c>
      <c r="D438" s="15" t="s">
        <v>2269</v>
      </c>
      <c r="E438" s="14" t="s">
        <v>1272</v>
      </c>
      <c r="F438" s="16" t="s">
        <v>1932</v>
      </c>
      <c r="G438" s="16" t="s">
        <v>117</v>
      </c>
      <c r="H438" s="14">
        <v>2018</v>
      </c>
      <c r="I438" s="16" t="s">
        <v>53</v>
      </c>
      <c r="J438" s="16" t="s">
        <v>286</v>
      </c>
      <c r="K438" s="16" t="s">
        <v>34</v>
      </c>
      <c r="L438" s="16" t="s">
        <v>24</v>
      </c>
      <c r="M438" s="16">
        <v>-1</v>
      </c>
      <c r="N438" s="14">
        <v>79</v>
      </c>
      <c r="O438" s="14">
        <v>133</v>
      </c>
      <c r="P438" s="14">
        <v>106</v>
      </c>
      <c r="Q438" s="14">
        <v>8</v>
      </c>
      <c r="R438" s="17" t="str">
        <f>IF(Cleaned_DS_jobs!$Q438&lt;10,"little_age_company",IF(AND(Cleaned_DS_jobs!$Q438&gt;=10,Cleaned_DS_jobs!$Q438&lt;=20),"average_age_company","Big_age_company"))</f>
        <v>little_age_company</v>
      </c>
    </row>
    <row r="439" spans="1:18" ht="19.95" customHeight="1" x14ac:dyDescent="0.3">
      <c r="A439" s="18" t="s">
        <v>26</v>
      </c>
      <c r="B439" s="19" t="s">
        <v>1722</v>
      </c>
      <c r="C439" s="19">
        <v>-1</v>
      </c>
      <c r="D439" s="20" t="s">
        <v>1039</v>
      </c>
      <c r="E439" s="19" t="s">
        <v>415</v>
      </c>
      <c r="F439" s="21" t="s">
        <v>1905</v>
      </c>
      <c r="G439" s="21" t="s">
        <v>52</v>
      </c>
      <c r="H439" s="19">
        <v>-1</v>
      </c>
      <c r="I439" s="21" t="s">
        <v>53</v>
      </c>
      <c r="J439" s="21" t="s">
        <v>92</v>
      </c>
      <c r="K439" s="21" t="s">
        <v>60</v>
      </c>
      <c r="L439" s="21" t="s">
        <v>24</v>
      </c>
      <c r="M439" s="21">
        <v>-1</v>
      </c>
      <c r="N439" s="19">
        <v>79</v>
      </c>
      <c r="O439" s="19">
        <v>133</v>
      </c>
      <c r="P439" s="19">
        <v>106</v>
      </c>
      <c r="Q439" s="19">
        <v>-1</v>
      </c>
      <c r="R439" s="22" t="str">
        <f>IF(Cleaned_DS_jobs!$Q439&lt;10,"little_age_company",IF(AND(Cleaned_DS_jobs!$Q439&gt;=10,Cleaned_DS_jobs!$Q439&lt;=20),"average_age_company","Big_age_company"))</f>
        <v>little_age_company</v>
      </c>
    </row>
    <row r="440" spans="1:18" ht="19.95" customHeight="1" x14ac:dyDescent="0.3">
      <c r="A440" s="13" t="s">
        <v>26</v>
      </c>
      <c r="B440" s="14" t="s">
        <v>1722</v>
      </c>
      <c r="C440" s="14">
        <v>-1</v>
      </c>
      <c r="D440" s="15" t="s">
        <v>1738</v>
      </c>
      <c r="E440" s="14" t="s">
        <v>192</v>
      </c>
      <c r="F440" s="16" t="s">
        <v>1933</v>
      </c>
      <c r="G440" s="16" t="s">
        <v>117</v>
      </c>
      <c r="H440" s="14">
        <v>-1</v>
      </c>
      <c r="I440" s="16" t="s">
        <v>53</v>
      </c>
      <c r="J440" s="16" t="s">
        <v>1972</v>
      </c>
      <c r="K440" s="16" t="s">
        <v>1972</v>
      </c>
      <c r="L440" s="16" t="s">
        <v>24</v>
      </c>
      <c r="M440" s="16">
        <v>-1</v>
      </c>
      <c r="N440" s="14">
        <v>79</v>
      </c>
      <c r="O440" s="14">
        <v>133</v>
      </c>
      <c r="P440" s="14">
        <v>106</v>
      </c>
      <c r="Q440" s="14">
        <v>-1</v>
      </c>
      <c r="R440" s="17" t="str">
        <f>IF(Cleaned_DS_jobs!$Q440&lt;10,"little_age_company",IF(AND(Cleaned_DS_jobs!$Q440&gt;=10,Cleaned_DS_jobs!$Q440&lt;=20),"average_age_company","Big_age_company"))</f>
        <v>little_age_company</v>
      </c>
    </row>
    <row r="441" spans="1:18" ht="19.95" customHeight="1" x14ac:dyDescent="0.3">
      <c r="A441" s="18" t="s">
        <v>26</v>
      </c>
      <c r="B441" s="19" t="s">
        <v>1722</v>
      </c>
      <c r="C441" s="19">
        <v>3.5</v>
      </c>
      <c r="D441" s="20" t="s">
        <v>2270</v>
      </c>
      <c r="E441" s="19" t="s">
        <v>675</v>
      </c>
      <c r="F441" s="21" t="s">
        <v>1845</v>
      </c>
      <c r="G441" s="21" t="s">
        <v>107</v>
      </c>
      <c r="H441" s="19">
        <v>2014</v>
      </c>
      <c r="I441" s="21" t="s">
        <v>53</v>
      </c>
      <c r="J441" s="21" t="s">
        <v>1279</v>
      </c>
      <c r="K441" s="21" t="s">
        <v>1057</v>
      </c>
      <c r="L441" s="21" t="s">
        <v>24</v>
      </c>
      <c r="M441" s="21">
        <v>-1</v>
      </c>
      <c r="N441" s="19">
        <v>79</v>
      </c>
      <c r="O441" s="19">
        <v>133</v>
      </c>
      <c r="P441" s="19">
        <v>106</v>
      </c>
      <c r="Q441" s="19">
        <v>12</v>
      </c>
      <c r="R441" s="22" t="str">
        <f>IF(Cleaned_DS_jobs!$Q441&lt;10,"little_age_company",IF(AND(Cleaned_DS_jobs!$Q441&gt;=10,Cleaned_DS_jobs!$Q441&lt;=20),"average_age_company","Big_age_company"))</f>
        <v>average_age_company</v>
      </c>
    </row>
    <row r="442" spans="1:18" ht="19.95" customHeight="1" x14ac:dyDescent="0.3">
      <c r="A442" s="13" t="s">
        <v>26</v>
      </c>
      <c r="B442" s="14" t="s">
        <v>1722</v>
      </c>
      <c r="C442" s="14">
        <v>-1</v>
      </c>
      <c r="D442" s="15" t="s">
        <v>1281</v>
      </c>
      <c r="E442" s="14" t="s">
        <v>38</v>
      </c>
      <c r="F442" s="16" t="s">
        <v>1746</v>
      </c>
      <c r="G442" s="16" t="s">
        <v>117</v>
      </c>
      <c r="H442" s="14">
        <v>-1</v>
      </c>
      <c r="I442" s="16" t="s">
        <v>39</v>
      </c>
      <c r="J442" s="16" t="s">
        <v>139</v>
      </c>
      <c r="K442" s="16" t="s">
        <v>140</v>
      </c>
      <c r="L442" s="16" t="s">
        <v>431</v>
      </c>
      <c r="M442" s="16">
        <v>-1</v>
      </c>
      <c r="N442" s="14">
        <v>79</v>
      </c>
      <c r="O442" s="14">
        <v>133</v>
      </c>
      <c r="P442" s="14">
        <v>106</v>
      </c>
      <c r="Q442" s="14">
        <v>-1</v>
      </c>
      <c r="R442" s="17" t="str">
        <f>IF(Cleaned_DS_jobs!$Q442&lt;10,"little_age_company",IF(AND(Cleaned_DS_jobs!$Q442&gt;=10,Cleaned_DS_jobs!$Q442&lt;=20),"average_age_company","Big_age_company"))</f>
        <v>little_age_company</v>
      </c>
    </row>
    <row r="443" spans="1:18" ht="19.95" customHeight="1" x14ac:dyDescent="0.3">
      <c r="A443" s="18" t="s">
        <v>26</v>
      </c>
      <c r="B443" s="19" t="s">
        <v>1722</v>
      </c>
      <c r="C443" s="19">
        <v>5</v>
      </c>
      <c r="D443" s="20" t="s">
        <v>2271</v>
      </c>
      <c r="E443" s="19" t="s">
        <v>1284</v>
      </c>
      <c r="F443" s="21" t="s">
        <v>1934</v>
      </c>
      <c r="G443" s="21" t="s">
        <v>117</v>
      </c>
      <c r="H443" s="19">
        <v>-1</v>
      </c>
      <c r="I443" s="21" t="s">
        <v>32</v>
      </c>
      <c r="J443" s="21" t="s">
        <v>1972</v>
      </c>
      <c r="K443" s="21" t="s">
        <v>1972</v>
      </c>
      <c r="L443" s="21" t="s">
        <v>24</v>
      </c>
      <c r="M443" s="21">
        <v>-1</v>
      </c>
      <c r="N443" s="19">
        <v>79</v>
      </c>
      <c r="O443" s="19">
        <v>133</v>
      </c>
      <c r="P443" s="19">
        <v>106</v>
      </c>
      <c r="Q443" s="19">
        <v>-1</v>
      </c>
      <c r="R443" s="22" t="str">
        <f>IF(Cleaned_DS_jobs!$Q443&lt;10,"little_age_company",IF(AND(Cleaned_DS_jobs!$Q443&gt;=10,Cleaned_DS_jobs!$Q443&lt;=20),"average_age_company","Big_age_company"))</f>
        <v>little_age_company</v>
      </c>
    </row>
    <row r="444" spans="1:18" ht="19.95" customHeight="1" x14ac:dyDescent="0.3">
      <c r="A444" s="13" t="s">
        <v>26</v>
      </c>
      <c r="B444" s="14" t="s">
        <v>1722</v>
      </c>
      <c r="C444" s="14">
        <v>2.7</v>
      </c>
      <c r="D444" s="15" t="s">
        <v>2272</v>
      </c>
      <c r="E444" s="14" t="s">
        <v>1287</v>
      </c>
      <c r="F444" s="16" t="s">
        <v>1935</v>
      </c>
      <c r="G444" s="16" t="s">
        <v>66</v>
      </c>
      <c r="H444" s="14">
        <v>2007</v>
      </c>
      <c r="I444" s="16" t="s">
        <v>32</v>
      </c>
      <c r="J444" s="16" t="s">
        <v>92</v>
      </c>
      <c r="K444" s="16" t="s">
        <v>60</v>
      </c>
      <c r="L444" s="16" t="s">
        <v>24</v>
      </c>
      <c r="M444" s="16">
        <v>-1</v>
      </c>
      <c r="N444" s="14">
        <v>79</v>
      </c>
      <c r="O444" s="14">
        <v>133</v>
      </c>
      <c r="P444" s="14">
        <v>106</v>
      </c>
      <c r="Q444" s="14">
        <v>19</v>
      </c>
      <c r="R444" s="17" t="str">
        <f>IF(Cleaned_DS_jobs!$Q444&lt;10,"little_age_company",IF(AND(Cleaned_DS_jobs!$Q444&gt;=10,Cleaned_DS_jobs!$Q444&lt;=20),"average_age_company","Big_age_company"))</f>
        <v>average_age_company</v>
      </c>
    </row>
    <row r="445" spans="1:18" ht="19.95" customHeight="1" x14ac:dyDescent="0.3">
      <c r="A445" s="18" t="s">
        <v>26</v>
      </c>
      <c r="B445" s="19" t="s">
        <v>1722</v>
      </c>
      <c r="C445" s="19">
        <v>4.0999999999999996</v>
      </c>
      <c r="D445" s="20" t="s">
        <v>2273</v>
      </c>
      <c r="E445" s="19" t="s">
        <v>971</v>
      </c>
      <c r="F445" s="21" t="s">
        <v>1936</v>
      </c>
      <c r="G445" s="21" t="s">
        <v>20</v>
      </c>
      <c r="H445" s="19">
        <v>1977</v>
      </c>
      <c r="I445" s="21" t="s">
        <v>53</v>
      </c>
      <c r="J445" s="21" t="s">
        <v>33</v>
      </c>
      <c r="K445" s="21" t="s">
        <v>34</v>
      </c>
      <c r="L445" s="21" t="s">
        <v>41</v>
      </c>
      <c r="M445" s="21">
        <v>-1</v>
      </c>
      <c r="N445" s="19">
        <v>79</v>
      </c>
      <c r="O445" s="19">
        <v>133</v>
      </c>
      <c r="P445" s="19">
        <v>106</v>
      </c>
      <c r="Q445" s="19">
        <v>49</v>
      </c>
      <c r="R445" s="22" t="str">
        <f>IF(Cleaned_DS_jobs!$Q445&lt;10,"little_age_company",IF(AND(Cleaned_DS_jobs!$Q445&gt;=10,Cleaned_DS_jobs!$Q445&lt;=20),"average_age_company","Big_age_company"))</f>
        <v>Big_age_company</v>
      </c>
    </row>
    <row r="446" spans="1:18" ht="19.95" customHeight="1" x14ac:dyDescent="0.3">
      <c r="A446" s="13" t="s">
        <v>26</v>
      </c>
      <c r="B446" s="14" t="s">
        <v>1722</v>
      </c>
      <c r="C446" s="14">
        <v>2.1</v>
      </c>
      <c r="D446" s="15" t="s">
        <v>2274</v>
      </c>
      <c r="E446" s="14" t="s">
        <v>143</v>
      </c>
      <c r="F446" s="16" t="s">
        <v>1924</v>
      </c>
      <c r="G446" s="16" t="s">
        <v>688</v>
      </c>
      <c r="H446" s="14">
        <v>2019</v>
      </c>
      <c r="I446" s="16" t="s">
        <v>53</v>
      </c>
      <c r="J446" s="16" t="s">
        <v>512</v>
      </c>
      <c r="K446" s="16" t="s">
        <v>513</v>
      </c>
      <c r="L446" s="16" t="s">
        <v>24</v>
      </c>
      <c r="M446" s="16">
        <v>-1</v>
      </c>
      <c r="N446" s="14">
        <v>79</v>
      </c>
      <c r="O446" s="14">
        <v>133</v>
      </c>
      <c r="P446" s="14">
        <v>106</v>
      </c>
      <c r="Q446" s="14">
        <v>7</v>
      </c>
      <c r="R446" s="17" t="str">
        <f>IF(Cleaned_DS_jobs!$Q446&lt;10,"little_age_company",IF(AND(Cleaned_DS_jobs!$Q446&gt;=10,Cleaned_DS_jobs!$Q446&lt;=20),"average_age_company","Big_age_company"))</f>
        <v>little_age_company</v>
      </c>
    </row>
    <row r="447" spans="1:18" ht="19.95" customHeight="1" x14ac:dyDescent="0.3">
      <c r="A447" s="18" t="s">
        <v>1045</v>
      </c>
      <c r="B447" s="19" t="s">
        <v>1722</v>
      </c>
      <c r="C447" s="19">
        <v>4.8</v>
      </c>
      <c r="D447" s="20" t="s">
        <v>2213</v>
      </c>
      <c r="E447" s="19" t="s">
        <v>19</v>
      </c>
      <c r="F447" s="21" t="s">
        <v>1744</v>
      </c>
      <c r="G447" s="21" t="s">
        <v>46</v>
      </c>
      <c r="H447" s="19">
        <v>2000</v>
      </c>
      <c r="I447" s="21" t="s">
        <v>53</v>
      </c>
      <c r="J447" s="21" t="s">
        <v>169</v>
      </c>
      <c r="K447" s="21" t="s">
        <v>170</v>
      </c>
      <c r="L447" s="21" t="s">
        <v>24</v>
      </c>
      <c r="M447" s="21">
        <v>-1</v>
      </c>
      <c r="N447" s="19">
        <v>79</v>
      </c>
      <c r="O447" s="19">
        <v>133</v>
      </c>
      <c r="P447" s="19">
        <v>106</v>
      </c>
      <c r="Q447" s="19">
        <v>26</v>
      </c>
      <c r="R447" s="22" t="str">
        <f>IF(Cleaned_DS_jobs!$Q447&lt;10,"little_age_company",IF(AND(Cleaned_DS_jobs!$Q447&gt;=10,Cleaned_DS_jobs!$Q447&lt;=20),"average_age_company","Big_age_company"))</f>
        <v>Big_age_company</v>
      </c>
    </row>
    <row r="448" spans="1:18" ht="19.95" customHeight="1" x14ac:dyDescent="0.3">
      <c r="A448" s="13" t="s">
        <v>283</v>
      </c>
      <c r="B448" s="14" t="s">
        <v>1723</v>
      </c>
      <c r="C448" s="14">
        <v>4.5</v>
      </c>
      <c r="D448" s="15" t="s">
        <v>2030</v>
      </c>
      <c r="E448" s="14" t="s">
        <v>91</v>
      </c>
      <c r="F448" s="16" t="s">
        <v>1754</v>
      </c>
      <c r="G448" s="16" t="s">
        <v>107</v>
      </c>
      <c r="H448" s="14">
        <v>1994</v>
      </c>
      <c r="I448" s="16" t="s">
        <v>53</v>
      </c>
      <c r="J448" s="16" t="s">
        <v>286</v>
      </c>
      <c r="K448" s="16" t="s">
        <v>34</v>
      </c>
      <c r="L448" s="16" t="s">
        <v>164</v>
      </c>
      <c r="M448" s="16">
        <v>-1</v>
      </c>
      <c r="N448" s="14">
        <v>69</v>
      </c>
      <c r="O448" s="14">
        <v>116</v>
      </c>
      <c r="P448" s="14">
        <v>92.5</v>
      </c>
      <c r="Q448" s="14">
        <v>32</v>
      </c>
      <c r="R448" s="17" t="str">
        <f>IF(Cleaned_DS_jobs!$Q448&lt;10,"little_age_company",IF(AND(Cleaned_DS_jobs!$Q448&gt;=10,Cleaned_DS_jobs!$Q448&lt;=20),"average_age_company","Big_age_company"))</f>
        <v>Big_age_company</v>
      </c>
    </row>
    <row r="449" spans="1:18" ht="19.95" customHeight="1" x14ac:dyDescent="0.3">
      <c r="A449" s="18" t="s">
        <v>329</v>
      </c>
      <c r="B449" s="19" t="s">
        <v>1723</v>
      </c>
      <c r="C449" s="19">
        <v>4</v>
      </c>
      <c r="D449" s="20" t="s">
        <v>2040</v>
      </c>
      <c r="E449" s="19" t="s">
        <v>143</v>
      </c>
      <c r="F449" s="21" t="s">
        <v>1792</v>
      </c>
      <c r="G449" s="21" t="s">
        <v>31</v>
      </c>
      <c r="H449" s="19">
        <v>1982</v>
      </c>
      <c r="I449" s="21" t="s">
        <v>32</v>
      </c>
      <c r="J449" s="21" t="s">
        <v>59</v>
      </c>
      <c r="K449" s="21" t="s">
        <v>60</v>
      </c>
      <c r="L449" s="21" t="s">
        <v>79</v>
      </c>
      <c r="M449" s="21">
        <v>-1</v>
      </c>
      <c r="N449" s="19">
        <v>69</v>
      </c>
      <c r="O449" s="19">
        <v>116</v>
      </c>
      <c r="P449" s="19">
        <v>92.5</v>
      </c>
      <c r="Q449" s="19">
        <v>44</v>
      </c>
      <c r="R449" s="22" t="str">
        <f>IF(Cleaned_DS_jobs!$Q449&lt;10,"little_age_company",IF(AND(Cleaned_DS_jobs!$Q449&gt;=10,Cleaned_DS_jobs!$Q449&lt;=20),"average_age_company","Big_age_company"))</f>
        <v>Big_age_company</v>
      </c>
    </row>
    <row r="450" spans="1:18" ht="19.95" customHeight="1" x14ac:dyDescent="0.3">
      <c r="A450" s="13" t="s">
        <v>26</v>
      </c>
      <c r="B450" s="14" t="s">
        <v>1723</v>
      </c>
      <c r="C450" s="14">
        <v>3.3</v>
      </c>
      <c r="D450" s="15" t="s">
        <v>2275</v>
      </c>
      <c r="E450" s="14" t="s">
        <v>1118</v>
      </c>
      <c r="F450" s="16" t="s">
        <v>1937</v>
      </c>
      <c r="G450" s="16" t="s">
        <v>66</v>
      </c>
      <c r="H450" s="14">
        <v>-1</v>
      </c>
      <c r="I450" s="16" t="s">
        <v>21</v>
      </c>
      <c r="J450" s="16" t="s">
        <v>139</v>
      </c>
      <c r="K450" s="16" t="s">
        <v>140</v>
      </c>
      <c r="L450" s="16" t="s">
        <v>132</v>
      </c>
      <c r="M450" s="16">
        <v>-1</v>
      </c>
      <c r="N450" s="14">
        <v>69</v>
      </c>
      <c r="O450" s="14">
        <v>116</v>
      </c>
      <c r="P450" s="14">
        <v>92.5</v>
      </c>
      <c r="Q450" s="14">
        <v>-1</v>
      </c>
      <c r="R450" s="17" t="str">
        <f>IF(Cleaned_DS_jobs!$Q450&lt;10,"little_age_company",IF(AND(Cleaned_DS_jobs!$Q450&gt;=10,Cleaned_DS_jobs!$Q450&lt;=20),"average_age_company","Big_age_company"))</f>
        <v>little_age_company</v>
      </c>
    </row>
    <row r="451" spans="1:18" ht="19.95" customHeight="1" x14ac:dyDescent="0.3">
      <c r="A451" s="18" t="s">
        <v>1677</v>
      </c>
      <c r="B451" s="19" t="s">
        <v>1723</v>
      </c>
      <c r="C451" s="19">
        <v>3.9</v>
      </c>
      <c r="D451" s="20" t="s">
        <v>1979</v>
      </c>
      <c r="E451" s="19" t="s">
        <v>64</v>
      </c>
      <c r="F451" s="21" t="s">
        <v>1749</v>
      </c>
      <c r="G451" s="21" t="s">
        <v>66</v>
      </c>
      <c r="H451" s="19">
        <v>1996</v>
      </c>
      <c r="I451" s="21" t="s">
        <v>32</v>
      </c>
      <c r="J451" s="21" t="s">
        <v>67</v>
      </c>
      <c r="K451" s="21" t="s">
        <v>67</v>
      </c>
      <c r="L451" s="21" t="s">
        <v>68</v>
      </c>
      <c r="M451" s="21">
        <v>-1</v>
      </c>
      <c r="N451" s="19">
        <v>69</v>
      </c>
      <c r="O451" s="19">
        <v>116</v>
      </c>
      <c r="P451" s="19">
        <v>92.5</v>
      </c>
      <c r="Q451" s="19">
        <v>30</v>
      </c>
      <c r="R451" s="22" t="str">
        <f>IF(Cleaned_DS_jobs!$Q451&lt;10,"little_age_company",IF(AND(Cleaned_DS_jobs!$Q451&gt;=10,Cleaned_DS_jobs!$Q451&lt;=20),"average_age_company","Big_age_company"))</f>
        <v>Big_age_company</v>
      </c>
    </row>
    <row r="452" spans="1:18" ht="19.95" customHeight="1" x14ac:dyDescent="0.3">
      <c r="A452" s="13" t="s">
        <v>26</v>
      </c>
      <c r="B452" s="14" t="s">
        <v>1723</v>
      </c>
      <c r="C452" s="14">
        <v>3.2</v>
      </c>
      <c r="D452" s="15" t="s">
        <v>2276</v>
      </c>
      <c r="E452" s="14" t="s">
        <v>1251</v>
      </c>
      <c r="F452" s="16" t="s">
        <v>1902</v>
      </c>
      <c r="G452" s="16" t="s">
        <v>20</v>
      </c>
      <c r="H452" s="14">
        <v>2007</v>
      </c>
      <c r="I452" s="16" t="s">
        <v>53</v>
      </c>
      <c r="J452" s="16" t="s">
        <v>286</v>
      </c>
      <c r="K452" s="16" t="s">
        <v>34</v>
      </c>
      <c r="L452" s="16" t="s">
        <v>41</v>
      </c>
      <c r="M452" s="16">
        <v>-1</v>
      </c>
      <c r="N452" s="14">
        <v>69</v>
      </c>
      <c r="O452" s="14">
        <v>116</v>
      </c>
      <c r="P452" s="14">
        <v>92.5</v>
      </c>
      <c r="Q452" s="14">
        <v>19</v>
      </c>
      <c r="R452" s="17" t="str">
        <f>IF(Cleaned_DS_jobs!$Q452&lt;10,"little_age_company",IF(AND(Cleaned_DS_jobs!$Q452&gt;=10,Cleaned_DS_jobs!$Q452&lt;=20),"average_age_company","Big_age_company"))</f>
        <v>average_age_company</v>
      </c>
    </row>
    <row r="453" spans="1:18" ht="19.95" customHeight="1" x14ac:dyDescent="0.3">
      <c r="A453" s="18" t="s">
        <v>26</v>
      </c>
      <c r="B453" s="19" t="s">
        <v>1723</v>
      </c>
      <c r="C453" s="19">
        <v>3.2</v>
      </c>
      <c r="D453" s="20" t="s">
        <v>2277</v>
      </c>
      <c r="E453" s="19" t="s">
        <v>1299</v>
      </c>
      <c r="F453" s="21" t="s">
        <v>1938</v>
      </c>
      <c r="G453" s="21" t="s">
        <v>20</v>
      </c>
      <c r="H453" s="19">
        <v>2009</v>
      </c>
      <c r="I453" s="21" t="s">
        <v>32</v>
      </c>
      <c r="J453" s="21" t="s">
        <v>123</v>
      </c>
      <c r="K453" s="21" t="s">
        <v>60</v>
      </c>
      <c r="L453" s="21" t="s">
        <v>24</v>
      </c>
      <c r="M453" s="21">
        <v>-1</v>
      </c>
      <c r="N453" s="19">
        <v>69</v>
      </c>
      <c r="O453" s="19">
        <v>116</v>
      </c>
      <c r="P453" s="19">
        <v>92.5</v>
      </c>
      <c r="Q453" s="19">
        <v>17</v>
      </c>
      <c r="R453" s="22" t="str">
        <f>IF(Cleaned_DS_jobs!$Q453&lt;10,"little_age_company",IF(AND(Cleaned_DS_jobs!$Q453&gt;=10,Cleaned_DS_jobs!$Q453&lt;=20),"average_age_company","Big_age_company"))</f>
        <v>average_age_company</v>
      </c>
    </row>
    <row r="454" spans="1:18" ht="19.95" customHeight="1" x14ac:dyDescent="0.3">
      <c r="A454" s="13" t="s">
        <v>1301</v>
      </c>
      <c r="B454" s="14" t="s">
        <v>1723</v>
      </c>
      <c r="C454" s="14">
        <v>3.7</v>
      </c>
      <c r="D454" s="15" t="s">
        <v>2278</v>
      </c>
      <c r="E454" s="14" t="s">
        <v>163</v>
      </c>
      <c r="F454" s="16" t="s">
        <v>1939</v>
      </c>
      <c r="G454" s="16" t="s">
        <v>66</v>
      </c>
      <c r="H454" s="14">
        <v>1911</v>
      </c>
      <c r="I454" s="16" t="s">
        <v>32</v>
      </c>
      <c r="J454" s="16" t="s">
        <v>92</v>
      </c>
      <c r="K454" s="16" t="s">
        <v>60</v>
      </c>
      <c r="L454" s="16" t="s">
        <v>68</v>
      </c>
      <c r="M454" s="16" t="s">
        <v>1305</v>
      </c>
      <c r="N454" s="14">
        <v>69</v>
      </c>
      <c r="O454" s="14">
        <v>116</v>
      </c>
      <c r="P454" s="14">
        <v>92.5</v>
      </c>
      <c r="Q454" s="14">
        <v>115</v>
      </c>
      <c r="R454" s="17" t="str">
        <f>IF(Cleaned_DS_jobs!$Q454&lt;10,"little_age_company",IF(AND(Cleaned_DS_jobs!$Q454&gt;=10,Cleaned_DS_jobs!$Q454&lt;=20),"average_age_company","Big_age_company"))</f>
        <v>Big_age_company</v>
      </c>
    </row>
    <row r="455" spans="1:18" ht="19.95" customHeight="1" x14ac:dyDescent="0.3">
      <c r="A455" s="18" t="s">
        <v>26</v>
      </c>
      <c r="B455" s="19" t="s">
        <v>1723</v>
      </c>
      <c r="C455" s="19">
        <v>4.4000000000000004</v>
      </c>
      <c r="D455" s="20" t="s">
        <v>2279</v>
      </c>
      <c r="E455" s="19" t="s">
        <v>179</v>
      </c>
      <c r="F455" s="21" t="s">
        <v>1833</v>
      </c>
      <c r="G455" s="21" t="s">
        <v>52</v>
      </c>
      <c r="H455" s="19">
        <v>2007</v>
      </c>
      <c r="I455" s="21" t="s">
        <v>53</v>
      </c>
      <c r="J455" s="21" t="s">
        <v>40</v>
      </c>
      <c r="K455" s="21" t="s">
        <v>34</v>
      </c>
      <c r="L455" s="21" t="s">
        <v>164</v>
      </c>
      <c r="M455" s="21" t="s">
        <v>1308</v>
      </c>
      <c r="N455" s="19">
        <v>69</v>
      </c>
      <c r="O455" s="19">
        <v>116</v>
      </c>
      <c r="P455" s="19">
        <v>92.5</v>
      </c>
      <c r="Q455" s="19">
        <v>19</v>
      </c>
      <c r="R455" s="22" t="str">
        <f>IF(Cleaned_DS_jobs!$Q455&lt;10,"little_age_company",IF(AND(Cleaned_DS_jobs!$Q455&gt;=10,Cleaned_DS_jobs!$Q455&lt;=20),"average_age_company","Big_age_company"))</f>
        <v>average_age_company</v>
      </c>
    </row>
    <row r="456" spans="1:18" ht="19.95" customHeight="1" x14ac:dyDescent="0.3">
      <c r="A456" s="13" t="s">
        <v>26</v>
      </c>
      <c r="B456" s="14" t="s">
        <v>1723</v>
      </c>
      <c r="C456" s="14">
        <v>3.1</v>
      </c>
      <c r="D456" s="15" t="s">
        <v>2280</v>
      </c>
      <c r="E456" s="14" t="s">
        <v>78</v>
      </c>
      <c r="F456" s="16" t="s">
        <v>1847</v>
      </c>
      <c r="G456" s="16" t="s">
        <v>117</v>
      </c>
      <c r="H456" s="14">
        <v>2009</v>
      </c>
      <c r="I456" s="16" t="s">
        <v>53</v>
      </c>
      <c r="J456" s="16" t="s">
        <v>92</v>
      </c>
      <c r="K456" s="16" t="s">
        <v>60</v>
      </c>
      <c r="L456" s="16" t="s">
        <v>212</v>
      </c>
      <c r="M456" s="16">
        <v>-1</v>
      </c>
      <c r="N456" s="14">
        <v>69</v>
      </c>
      <c r="O456" s="14">
        <v>116</v>
      </c>
      <c r="P456" s="14">
        <v>92.5</v>
      </c>
      <c r="Q456" s="14">
        <v>17</v>
      </c>
      <c r="R456" s="17" t="str">
        <f>IF(Cleaned_DS_jobs!$Q456&lt;10,"little_age_company",IF(AND(Cleaned_DS_jobs!$Q456&gt;=10,Cleaned_DS_jobs!$Q456&lt;=20),"average_age_company","Big_age_company"))</f>
        <v>average_age_company</v>
      </c>
    </row>
    <row r="457" spans="1:18" ht="19.95" customHeight="1" x14ac:dyDescent="0.3">
      <c r="A457" s="18" t="s">
        <v>26</v>
      </c>
      <c r="B457" s="19" t="s">
        <v>1723</v>
      </c>
      <c r="C457" s="19">
        <v>3.3</v>
      </c>
      <c r="D457" s="20" t="s">
        <v>2216</v>
      </c>
      <c r="E457" s="19" t="s">
        <v>1054</v>
      </c>
      <c r="F457" s="21" t="s">
        <v>1907</v>
      </c>
      <c r="G457" s="21" t="s">
        <v>66</v>
      </c>
      <c r="H457" s="19">
        <v>1880</v>
      </c>
      <c r="I457" s="21" t="s">
        <v>1055</v>
      </c>
      <c r="J457" s="21" t="s">
        <v>1056</v>
      </c>
      <c r="K457" s="21" t="s">
        <v>1057</v>
      </c>
      <c r="L457" s="21" t="s">
        <v>35</v>
      </c>
      <c r="M457" s="21" t="s">
        <v>1058</v>
      </c>
      <c r="N457" s="19">
        <v>69</v>
      </c>
      <c r="O457" s="19">
        <v>116</v>
      </c>
      <c r="P457" s="19">
        <v>92.5</v>
      </c>
      <c r="Q457" s="19">
        <v>146</v>
      </c>
      <c r="R457" s="22" t="str">
        <f>IF(Cleaned_DS_jobs!$Q457&lt;10,"little_age_company",IF(AND(Cleaned_DS_jobs!$Q457&gt;=10,Cleaned_DS_jobs!$Q457&lt;=20),"average_age_company","Big_age_company"))</f>
        <v>Big_age_company</v>
      </c>
    </row>
    <row r="458" spans="1:18" ht="19.95" customHeight="1" x14ac:dyDescent="0.3">
      <c r="A458" s="13" t="s">
        <v>26</v>
      </c>
      <c r="B458" s="14" t="s">
        <v>1723</v>
      </c>
      <c r="C458" s="14">
        <v>3.5</v>
      </c>
      <c r="D458" s="15" t="s">
        <v>2281</v>
      </c>
      <c r="E458" s="14" t="s">
        <v>1313</v>
      </c>
      <c r="F458" s="16" t="s">
        <v>1940</v>
      </c>
      <c r="G458" s="16" t="s">
        <v>46</v>
      </c>
      <c r="H458" s="14">
        <v>2006</v>
      </c>
      <c r="I458" s="16" t="s">
        <v>53</v>
      </c>
      <c r="J458" s="16" t="s">
        <v>22</v>
      </c>
      <c r="K458" s="16" t="s">
        <v>23</v>
      </c>
      <c r="L458" s="16" t="s">
        <v>194</v>
      </c>
      <c r="M458" s="16">
        <v>-1</v>
      </c>
      <c r="N458" s="14">
        <v>69</v>
      </c>
      <c r="O458" s="14">
        <v>116</v>
      </c>
      <c r="P458" s="14">
        <v>92.5</v>
      </c>
      <c r="Q458" s="14">
        <v>20</v>
      </c>
      <c r="R458" s="17" t="str">
        <f>IF(Cleaned_DS_jobs!$Q458&lt;10,"little_age_company",IF(AND(Cleaned_DS_jobs!$Q458&gt;=10,Cleaned_DS_jobs!$Q458&lt;=20),"average_age_company","Big_age_company"))</f>
        <v>average_age_company</v>
      </c>
    </row>
    <row r="459" spans="1:18" ht="19.95" customHeight="1" x14ac:dyDescent="0.3">
      <c r="A459" s="18" t="s">
        <v>26</v>
      </c>
      <c r="B459" s="19" t="s">
        <v>1723</v>
      </c>
      <c r="C459" s="19">
        <v>-1</v>
      </c>
      <c r="D459" s="20" t="s">
        <v>1063</v>
      </c>
      <c r="E459" s="19" t="s">
        <v>143</v>
      </c>
      <c r="F459" s="21" t="s">
        <v>1908</v>
      </c>
      <c r="G459" s="21" t="s">
        <v>117</v>
      </c>
      <c r="H459" s="19">
        <v>-1</v>
      </c>
      <c r="I459" s="21" t="s">
        <v>53</v>
      </c>
      <c r="J459" s="21" t="s">
        <v>1972</v>
      </c>
      <c r="K459" s="21" t="s">
        <v>1972</v>
      </c>
      <c r="L459" s="21" t="s">
        <v>431</v>
      </c>
      <c r="M459" s="21">
        <v>-1</v>
      </c>
      <c r="N459" s="19">
        <v>69</v>
      </c>
      <c r="O459" s="19">
        <v>116</v>
      </c>
      <c r="P459" s="19">
        <v>92.5</v>
      </c>
      <c r="Q459" s="19">
        <v>-1</v>
      </c>
      <c r="R459" s="22" t="str">
        <f>IF(Cleaned_DS_jobs!$Q459&lt;10,"little_age_company",IF(AND(Cleaned_DS_jobs!$Q459&gt;=10,Cleaned_DS_jobs!$Q459&lt;=20),"average_age_company","Big_age_company"))</f>
        <v>little_age_company</v>
      </c>
    </row>
    <row r="460" spans="1:18" ht="19.95" customHeight="1" x14ac:dyDescent="0.3">
      <c r="A460" s="13" t="s">
        <v>221</v>
      </c>
      <c r="B460" s="14" t="s">
        <v>1723</v>
      </c>
      <c r="C460" s="14">
        <v>2.6</v>
      </c>
      <c r="D460" s="15" t="s">
        <v>2218</v>
      </c>
      <c r="E460" s="14" t="s">
        <v>914</v>
      </c>
      <c r="F460" s="16" t="s">
        <v>1882</v>
      </c>
      <c r="G460" s="16" t="s">
        <v>46</v>
      </c>
      <c r="H460" s="14">
        <v>1984</v>
      </c>
      <c r="I460" s="16" t="s">
        <v>1067</v>
      </c>
      <c r="J460" s="16" t="s">
        <v>1068</v>
      </c>
      <c r="K460" s="16" t="s">
        <v>1069</v>
      </c>
      <c r="L460" s="16" t="s">
        <v>24</v>
      </c>
      <c r="M460" s="16">
        <v>-1</v>
      </c>
      <c r="N460" s="14">
        <v>69</v>
      </c>
      <c r="O460" s="14">
        <v>116</v>
      </c>
      <c r="P460" s="14">
        <v>92.5</v>
      </c>
      <c r="Q460" s="14">
        <v>42</v>
      </c>
      <c r="R460" s="17" t="str">
        <f>IF(Cleaned_DS_jobs!$Q460&lt;10,"little_age_company",IF(AND(Cleaned_DS_jobs!$Q460&gt;=10,Cleaned_DS_jobs!$Q460&lt;=20),"average_age_company","Big_age_company"))</f>
        <v>Big_age_company</v>
      </c>
    </row>
    <row r="461" spans="1:18" ht="19.95" customHeight="1" x14ac:dyDescent="0.3">
      <c r="A461" s="18" t="s">
        <v>26</v>
      </c>
      <c r="B461" s="19" t="s">
        <v>1723</v>
      </c>
      <c r="C461" s="19">
        <v>-1</v>
      </c>
      <c r="D461" s="20" t="s">
        <v>1739</v>
      </c>
      <c r="E461" s="19" t="s">
        <v>1316</v>
      </c>
      <c r="F461" s="21">
        <v>-1</v>
      </c>
      <c r="G461" s="21" t="s">
        <v>1972</v>
      </c>
      <c r="H461" s="19">
        <v>-1</v>
      </c>
      <c r="I461" s="21" t="s">
        <v>1972</v>
      </c>
      <c r="J461" s="21" t="s">
        <v>1972</v>
      </c>
      <c r="K461" s="21" t="s">
        <v>1972</v>
      </c>
      <c r="L461" s="21" t="s">
        <v>1972</v>
      </c>
      <c r="M461" s="21">
        <v>-1</v>
      </c>
      <c r="N461" s="19">
        <v>69</v>
      </c>
      <c r="O461" s="19">
        <v>116</v>
      </c>
      <c r="P461" s="19">
        <v>92.5</v>
      </c>
      <c r="Q461" s="19">
        <v>-1</v>
      </c>
      <c r="R461" s="22" t="str">
        <f>IF(Cleaned_DS_jobs!$Q461&lt;10,"little_age_company",IF(AND(Cleaned_DS_jobs!$Q461&gt;=10,Cleaned_DS_jobs!$Q461&lt;=20),"average_age_company","Big_age_company"))</f>
        <v>little_age_company</v>
      </c>
    </row>
    <row r="462" spans="1:18" ht="19.95" customHeight="1" x14ac:dyDescent="0.3">
      <c r="A462" s="13" t="s">
        <v>26</v>
      </c>
      <c r="B462" s="14" t="s">
        <v>1723</v>
      </c>
      <c r="C462" s="14">
        <v>2.7</v>
      </c>
      <c r="D462" s="15" t="s">
        <v>2282</v>
      </c>
      <c r="E462" s="14" t="s">
        <v>19</v>
      </c>
      <c r="F462" s="16" t="s">
        <v>1744</v>
      </c>
      <c r="G462" s="16" t="s">
        <v>20</v>
      </c>
      <c r="H462" s="14">
        <v>1968</v>
      </c>
      <c r="I462" s="16" t="s">
        <v>32</v>
      </c>
      <c r="J462" s="16" t="s">
        <v>54</v>
      </c>
      <c r="K462" s="16" t="s">
        <v>34</v>
      </c>
      <c r="L462" s="16" t="s">
        <v>41</v>
      </c>
      <c r="M462" s="16">
        <v>-1</v>
      </c>
      <c r="N462" s="14">
        <v>69</v>
      </c>
      <c r="O462" s="14">
        <v>116</v>
      </c>
      <c r="P462" s="14">
        <v>92.5</v>
      </c>
      <c r="Q462" s="14">
        <v>58</v>
      </c>
      <c r="R462" s="17" t="str">
        <f>IF(Cleaned_DS_jobs!$Q462&lt;10,"little_age_company",IF(AND(Cleaned_DS_jobs!$Q462&gt;=10,Cleaned_DS_jobs!$Q462&lt;=20),"average_age_company","Big_age_company"))</f>
        <v>Big_age_company</v>
      </c>
    </row>
    <row r="463" spans="1:18" ht="19.95" customHeight="1" x14ac:dyDescent="0.3">
      <c r="A463" s="18" t="s">
        <v>26</v>
      </c>
      <c r="B463" s="19" t="s">
        <v>1723</v>
      </c>
      <c r="C463" s="19">
        <v>3.5</v>
      </c>
      <c r="D463" s="20" t="s">
        <v>2283</v>
      </c>
      <c r="E463" s="19" t="s">
        <v>1251</v>
      </c>
      <c r="F463" s="21" t="s">
        <v>1801</v>
      </c>
      <c r="G463" s="21" t="s">
        <v>46</v>
      </c>
      <c r="H463" s="19">
        <v>2009</v>
      </c>
      <c r="I463" s="21" t="s">
        <v>53</v>
      </c>
      <c r="J463" s="21" t="s">
        <v>40</v>
      </c>
      <c r="K463" s="21" t="s">
        <v>34</v>
      </c>
      <c r="L463" s="21" t="s">
        <v>24</v>
      </c>
      <c r="M463" s="21">
        <v>-1</v>
      </c>
      <c r="N463" s="19">
        <v>69</v>
      </c>
      <c r="O463" s="19">
        <v>116</v>
      </c>
      <c r="P463" s="19">
        <v>92.5</v>
      </c>
      <c r="Q463" s="19">
        <v>17</v>
      </c>
      <c r="R463" s="22" t="str">
        <f>IF(Cleaned_DS_jobs!$Q463&lt;10,"little_age_company",IF(AND(Cleaned_DS_jobs!$Q463&gt;=10,Cleaned_DS_jobs!$Q463&lt;=20),"average_age_company","Big_age_company"))</f>
        <v>average_age_company</v>
      </c>
    </row>
    <row r="464" spans="1:18" ht="19.95" customHeight="1" x14ac:dyDescent="0.3">
      <c r="A464" s="13" t="s">
        <v>26</v>
      </c>
      <c r="B464" s="14" t="s">
        <v>1723</v>
      </c>
      <c r="C464" s="14">
        <v>3.2</v>
      </c>
      <c r="D464" s="15" t="s">
        <v>2284</v>
      </c>
      <c r="E464" s="14" t="s">
        <v>903</v>
      </c>
      <c r="F464" s="16" t="s">
        <v>1941</v>
      </c>
      <c r="G464" s="16" t="s">
        <v>117</v>
      </c>
      <c r="H464" s="14">
        <v>-1</v>
      </c>
      <c r="I464" s="16" t="s">
        <v>53</v>
      </c>
      <c r="J464" s="16" t="s">
        <v>286</v>
      </c>
      <c r="K464" s="16" t="s">
        <v>34</v>
      </c>
      <c r="L464" s="16" t="s">
        <v>403</v>
      </c>
      <c r="M464" s="16">
        <v>-1</v>
      </c>
      <c r="N464" s="14">
        <v>69</v>
      </c>
      <c r="O464" s="14">
        <v>116</v>
      </c>
      <c r="P464" s="14">
        <v>92.5</v>
      </c>
      <c r="Q464" s="14">
        <v>-1</v>
      </c>
      <c r="R464" s="17" t="str">
        <f>IF(Cleaned_DS_jobs!$Q464&lt;10,"little_age_company",IF(AND(Cleaned_DS_jobs!$Q464&gt;=10,Cleaned_DS_jobs!$Q464&lt;=20),"average_age_company","Big_age_company"))</f>
        <v>little_age_company</v>
      </c>
    </row>
    <row r="465" spans="1:18" ht="19.95" customHeight="1" x14ac:dyDescent="0.3">
      <c r="A465" s="18" t="s">
        <v>1070</v>
      </c>
      <c r="B465" s="19" t="s">
        <v>1723</v>
      </c>
      <c r="C465" s="19">
        <v>3.8</v>
      </c>
      <c r="D465" s="20" t="s">
        <v>2033</v>
      </c>
      <c r="E465" s="19" t="s">
        <v>300</v>
      </c>
      <c r="F465" s="21" t="s">
        <v>1787</v>
      </c>
      <c r="G465" s="21" t="s">
        <v>107</v>
      </c>
      <c r="H465" s="19">
        <v>1986</v>
      </c>
      <c r="I465" s="21" t="s">
        <v>301</v>
      </c>
      <c r="J465" s="21" t="s">
        <v>302</v>
      </c>
      <c r="K465" s="21" t="s">
        <v>48</v>
      </c>
      <c r="L465" s="21" t="s">
        <v>41</v>
      </c>
      <c r="M465" s="21" t="s">
        <v>303</v>
      </c>
      <c r="N465" s="19">
        <v>69</v>
      </c>
      <c r="O465" s="19">
        <v>116</v>
      </c>
      <c r="P465" s="19">
        <v>92.5</v>
      </c>
      <c r="Q465" s="19">
        <v>40</v>
      </c>
      <c r="R465" s="22" t="str">
        <f>IF(Cleaned_DS_jobs!$Q465&lt;10,"little_age_company",IF(AND(Cleaned_DS_jobs!$Q465&gt;=10,Cleaned_DS_jobs!$Q465&lt;=20),"average_age_company","Big_age_company"))</f>
        <v>Big_age_company</v>
      </c>
    </row>
    <row r="466" spans="1:18" ht="19.95" customHeight="1" x14ac:dyDescent="0.3">
      <c r="A466" s="13" t="s">
        <v>26</v>
      </c>
      <c r="B466" s="14" t="s">
        <v>1723</v>
      </c>
      <c r="C466" s="14">
        <v>4.2</v>
      </c>
      <c r="D466" s="15" t="s">
        <v>2285</v>
      </c>
      <c r="E466" s="14" t="s">
        <v>1326</v>
      </c>
      <c r="F466" s="16" t="s">
        <v>1937</v>
      </c>
      <c r="G466" s="16" t="s">
        <v>52</v>
      </c>
      <c r="H466" s="14">
        <v>-1</v>
      </c>
      <c r="I466" s="16" t="s">
        <v>53</v>
      </c>
      <c r="J466" s="16" t="s">
        <v>92</v>
      </c>
      <c r="K466" s="16" t="s">
        <v>60</v>
      </c>
      <c r="L466" s="16" t="s">
        <v>431</v>
      </c>
      <c r="M466" s="16">
        <v>-1</v>
      </c>
      <c r="N466" s="14">
        <v>69</v>
      </c>
      <c r="O466" s="14">
        <v>116</v>
      </c>
      <c r="P466" s="14">
        <v>92.5</v>
      </c>
      <c r="Q466" s="14">
        <v>-1</v>
      </c>
      <c r="R466" s="17" t="str">
        <f>IF(Cleaned_DS_jobs!$Q466&lt;10,"little_age_company",IF(AND(Cleaned_DS_jobs!$Q466&gt;=10,Cleaned_DS_jobs!$Q466&lt;=20),"average_age_company","Big_age_company"))</f>
        <v>little_age_company</v>
      </c>
    </row>
    <row r="467" spans="1:18" ht="19.95" customHeight="1" x14ac:dyDescent="0.3">
      <c r="A467" s="18" t="s">
        <v>26</v>
      </c>
      <c r="B467" s="19" t="s">
        <v>1723</v>
      </c>
      <c r="C467" s="19">
        <v>4.8</v>
      </c>
      <c r="D467" s="20" t="s">
        <v>2219</v>
      </c>
      <c r="E467" s="19" t="s">
        <v>19</v>
      </c>
      <c r="F467" s="21" t="s">
        <v>1909</v>
      </c>
      <c r="G467" s="21" t="s">
        <v>117</v>
      </c>
      <c r="H467" s="19">
        <v>2011</v>
      </c>
      <c r="I467" s="21" t="s">
        <v>53</v>
      </c>
      <c r="J467" s="21" t="s">
        <v>92</v>
      </c>
      <c r="K467" s="21" t="s">
        <v>60</v>
      </c>
      <c r="L467" s="21" t="s">
        <v>24</v>
      </c>
      <c r="M467" s="21">
        <v>-1</v>
      </c>
      <c r="N467" s="19">
        <v>69</v>
      </c>
      <c r="O467" s="19">
        <v>116</v>
      </c>
      <c r="P467" s="19">
        <v>92.5</v>
      </c>
      <c r="Q467" s="19">
        <v>15</v>
      </c>
      <c r="R467" s="22" t="str">
        <f>IF(Cleaned_DS_jobs!$Q467&lt;10,"little_age_company",IF(AND(Cleaned_DS_jobs!$Q467&gt;=10,Cleaned_DS_jobs!$Q467&lt;=20),"average_age_company","Big_age_company"))</f>
        <v>average_age_company</v>
      </c>
    </row>
    <row r="468" spans="1:18" ht="19.95" customHeight="1" x14ac:dyDescent="0.3">
      <c r="A468" s="13" t="s">
        <v>26</v>
      </c>
      <c r="B468" s="14" t="s">
        <v>1723</v>
      </c>
      <c r="C468" s="14">
        <v>4.2</v>
      </c>
      <c r="D468" s="15" t="s">
        <v>2286</v>
      </c>
      <c r="E468" s="14" t="s">
        <v>1329</v>
      </c>
      <c r="F468" s="16" t="s">
        <v>1752</v>
      </c>
      <c r="G468" s="16" t="s">
        <v>52</v>
      </c>
      <c r="H468" s="14">
        <v>1989</v>
      </c>
      <c r="I468" s="16" t="s">
        <v>53</v>
      </c>
      <c r="J468" s="16" t="s">
        <v>286</v>
      </c>
      <c r="K468" s="16" t="s">
        <v>34</v>
      </c>
      <c r="L468" s="16" t="s">
        <v>160</v>
      </c>
      <c r="M468" s="16">
        <v>-1</v>
      </c>
      <c r="N468" s="14">
        <v>69</v>
      </c>
      <c r="O468" s="14">
        <v>116</v>
      </c>
      <c r="P468" s="14">
        <v>92.5</v>
      </c>
      <c r="Q468" s="14">
        <v>37</v>
      </c>
      <c r="R468" s="17" t="str">
        <f>IF(Cleaned_DS_jobs!$Q468&lt;10,"little_age_company",IF(AND(Cleaned_DS_jobs!$Q468&gt;=10,Cleaned_DS_jobs!$Q468&lt;=20),"average_age_company","Big_age_company"))</f>
        <v>Big_age_company</v>
      </c>
    </row>
    <row r="469" spans="1:18" ht="19.95" customHeight="1" x14ac:dyDescent="0.3">
      <c r="A469" s="18" t="s">
        <v>313</v>
      </c>
      <c r="B469" s="19" t="s">
        <v>1724</v>
      </c>
      <c r="C469" s="19">
        <v>3.3</v>
      </c>
      <c r="D469" s="20" t="s">
        <v>2037</v>
      </c>
      <c r="E469" s="19" t="s">
        <v>83</v>
      </c>
      <c r="F469" s="21" t="s">
        <v>1752</v>
      </c>
      <c r="G469" s="21" t="s">
        <v>46</v>
      </c>
      <c r="H469" s="19">
        <v>2015</v>
      </c>
      <c r="I469" s="21" t="s">
        <v>53</v>
      </c>
      <c r="J469" s="21" t="s">
        <v>67</v>
      </c>
      <c r="K469" s="21" t="s">
        <v>67</v>
      </c>
      <c r="L469" s="21" t="s">
        <v>24</v>
      </c>
      <c r="M469" s="21">
        <v>-1</v>
      </c>
      <c r="N469" s="19">
        <v>31</v>
      </c>
      <c r="O469" s="19">
        <v>56</v>
      </c>
      <c r="P469" s="19">
        <v>43.5</v>
      </c>
      <c r="Q469" s="19">
        <v>11</v>
      </c>
      <c r="R469" s="22" t="str">
        <f>IF(Cleaned_DS_jobs!$Q469&lt;10,"little_age_company",IF(AND(Cleaned_DS_jobs!$Q469&gt;=10,Cleaned_DS_jobs!$Q469&lt;=20),"average_age_company","Big_age_company"))</f>
        <v>average_age_company</v>
      </c>
    </row>
    <row r="470" spans="1:18" ht="19.95" customHeight="1" x14ac:dyDescent="0.3">
      <c r="A470" s="13" t="s">
        <v>26</v>
      </c>
      <c r="B470" s="14" t="s">
        <v>1724</v>
      </c>
      <c r="C470" s="14">
        <v>4</v>
      </c>
      <c r="D470" s="15" t="s">
        <v>2036</v>
      </c>
      <c r="E470" s="14" t="s">
        <v>258</v>
      </c>
      <c r="F470" s="16" t="s">
        <v>1789</v>
      </c>
      <c r="G470" s="16" t="s">
        <v>20</v>
      </c>
      <c r="H470" s="14">
        <v>2006</v>
      </c>
      <c r="I470" s="16" t="s">
        <v>53</v>
      </c>
      <c r="J470" s="16" t="s">
        <v>84</v>
      </c>
      <c r="K470" s="16" t="s">
        <v>60</v>
      </c>
      <c r="L470" s="16" t="s">
        <v>194</v>
      </c>
      <c r="M470" s="16" t="s">
        <v>312</v>
      </c>
      <c r="N470" s="14">
        <v>31</v>
      </c>
      <c r="O470" s="14">
        <v>56</v>
      </c>
      <c r="P470" s="14">
        <v>43.5</v>
      </c>
      <c r="Q470" s="14">
        <v>20</v>
      </c>
      <c r="R470" s="17" t="str">
        <f>IF(Cleaned_DS_jobs!$Q470&lt;10,"little_age_company",IF(AND(Cleaned_DS_jobs!$Q470&gt;=10,Cleaned_DS_jobs!$Q470&lt;=20),"average_age_company","Big_age_company"))</f>
        <v>average_age_company</v>
      </c>
    </row>
    <row r="471" spans="1:18" ht="19.95" customHeight="1" x14ac:dyDescent="0.3">
      <c r="A471" s="18" t="s">
        <v>1687</v>
      </c>
      <c r="B471" s="19" t="s">
        <v>1724</v>
      </c>
      <c r="C471" s="19">
        <v>3.9</v>
      </c>
      <c r="D471" s="20" t="s">
        <v>2220</v>
      </c>
      <c r="E471" s="19" t="s">
        <v>19</v>
      </c>
      <c r="F471" s="21" t="s">
        <v>1744</v>
      </c>
      <c r="G471" s="21" t="s">
        <v>52</v>
      </c>
      <c r="H471" s="19">
        <v>2012</v>
      </c>
      <c r="I471" s="21" t="s">
        <v>53</v>
      </c>
      <c r="J471" s="21" t="s">
        <v>33</v>
      </c>
      <c r="K471" s="21" t="s">
        <v>34</v>
      </c>
      <c r="L471" s="21" t="s">
        <v>24</v>
      </c>
      <c r="M471" s="21">
        <v>-1</v>
      </c>
      <c r="N471" s="19">
        <v>31</v>
      </c>
      <c r="O471" s="19">
        <v>56</v>
      </c>
      <c r="P471" s="19">
        <v>43.5</v>
      </c>
      <c r="Q471" s="19">
        <v>14</v>
      </c>
      <c r="R471" s="22" t="str">
        <f>IF(Cleaned_DS_jobs!$Q471&lt;10,"little_age_company",IF(AND(Cleaned_DS_jobs!$Q471&gt;=10,Cleaned_DS_jobs!$Q471&lt;=20),"average_age_company","Big_age_company"))</f>
        <v>average_age_company</v>
      </c>
    </row>
    <row r="472" spans="1:18" ht="19.95" customHeight="1" x14ac:dyDescent="0.3">
      <c r="A472" s="13" t="s">
        <v>734</v>
      </c>
      <c r="B472" s="14" t="s">
        <v>1724</v>
      </c>
      <c r="C472" s="14">
        <v>3.7</v>
      </c>
      <c r="D472" s="15" t="s">
        <v>2135</v>
      </c>
      <c r="E472" s="14" t="s">
        <v>737</v>
      </c>
      <c r="F472" s="16" t="s">
        <v>1853</v>
      </c>
      <c r="G472" s="16" t="s">
        <v>20</v>
      </c>
      <c r="H472" s="14">
        <v>1999</v>
      </c>
      <c r="I472" s="16" t="s">
        <v>32</v>
      </c>
      <c r="J472" s="16" t="s">
        <v>738</v>
      </c>
      <c r="K472" s="16" t="s">
        <v>48</v>
      </c>
      <c r="L472" s="16" t="s">
        <v>41</v>
      </c>
      <c r="M472" s="16">
        <v>-1</v>
      </c>
      <c r="N472" s="14">
        <v>31</v>
      </c>
      <c r="O472" s="14">
        <v>56</v>
      </c>
      <c r="P472" s="14">
        <v>43.5</v>
      </c>
      <c r="Q472" s="14">
        <v>27</v>
      </c>
      <c r="R472" s="17" t="str">
        <f>IF(Cleaned_DS_jobs!$Q472&lt;10,"little_age_company",IF(AND(Cleaned_DS_jobs!$Q472&gt;=10,Cleaned_DS_jobs!$Q472&lt;=20),"average_age_company","Big_age_company"))</f>
        <v>Big_age_company</v>
      </c>
    </row>
    <row r="473" spans="1:18" ht="19.95" customHeight="1" x14ac:dyDescent="0.3">
      <c r="A473" s="18" t="s">
        <v>26</v>
      </c>
      <c r="B473" s="19" t="s">
        <v>1724</v>
      </c>
      <c r="C473" s="19">
        <v>3.9</v>
      </c>
      <c r="D473" s="20" t="s">
        <v>2287</v>
      </c>
      <c r="E473" s="19" t="s">
        <v>1333</v>
      </c>
      <c r="F473" s="21" t="s">
        <v>1924</v>
      </c>
      <c r="G473" s="21" t="s">
        <v>46</v>
      </c>
      <c r="H473" s="19">
        <v>2004</v>
      </c>
      <c r="I473" s="21" t="s">
        <v>53</v>
      </c>
      <c r="J473" s="21" t="s">
        <v>175</v>
      </c>
      <c r="K473" s="21" t="s">
        <v>175</v>
      </c>
      <c r="L473" s="21" t="s">
        <v>194</v>
      </c>
      <c r="M473" s="21">
        <v>-1</v>
      </c>
      <c r="N473" s="19">
        <v>31</v>
      </c>
      <c r="O473" s="19">
        <v>56</v>
      </c>
      <c r="P473" s="19">
        <v>43.5</v>
      </c>
      <c r="Q473" s="19">
        <v>22</v>
      </c>
      <c r="R473" s="22" t="str">
        <f>IF(Cleaned_DS_jobs!$Q473&lt;10,"little_age_company",IF(AND(Cleaned_DS_jobs!$Q473&gt;=10,Cleaned_DS_jobs!$Q473&lt;=20),"average_age_company","Big_age_company"))</f>
        <v>Big_age_company</v>
      </c>
    </row>
    <row r="474" spans="1:18" ht="19.95" customHeight="1" x14ac:dyDescent="0.3">
      <c r="A474" s="13" t="s">
        <v>1081</v>
      </c>
      <c r="B474" s="14" t="s">
        <v>1724</v>
      </c>
      <c r="C474" s="14">
        <v>3.5</v>
      </c>
      <c r="D474" s="15" t="s">
        <v>2222</v>
      </c>
      <c r="E474" s="14" t="s">
        <v>693</v>
      </c>
      <c r="F474" s="16" t="s">
        <v>1847</v>
      </c>
      <c r="G474" s="16" t="s">
        <v>66</v>
      </c>
      <c r="H474" s="14">
        <v>1970</v>
      </c>
      <c r="I474" s="16" t="s">
        <v>32</v>
      </c>
      <c r="J474" s="16" t="s">
        <v>59</v>
      </c>
      <c r="K474" s="16" t="s">
        <v>60</v>
      </c>
      <c r="L474" s="16" t="s">
        <v>68</v>
      </c>
      <c r="M474" s="16" t="s">
        <v>1084</v>
      </c>
      <c r="N474" s="14">
        <v>31</v>
      </c>
      <c r="O474" s="14">
        <v>56</v>
      </c>
      <c r="P474" s="14">
        <v>43.5</v>
      </c>
      <c r="Q474" s="14">
        <v>56</v>
      </c>
      <c r="R474" s="17" t="str">
        <f>IF(Cleaned_DS_jobs!$Q474&lt;10,"little_age_company",IF(AND(Cleaned_DS_jobs!$Q474&gt;=10,Cleaned_DS_jobs!$Q474&lt;=20),"average_age_company","Big_age_company"))</f>
        <v>Big_age_company</v>
      </c>
    </row>
    <row r="475" spans="1:18" ht="19.95" customHeight="1" x14ac:dyDescent="0.3">
      <c r="A475" s="18" t="s">
        <v>26</v>
      </c>
      <c r="B475" s="19" t="s">
        <v>1724</v>
      </c>
      <c r="C475" s="19">
        <v>4</v>
      </c>
      <c r="D475" s="20" t="s">
        <v>2288</v>
      </c>
      <c r="E475" s="19" t="s">
        <v>192</v>
      </c>
      <c r="F475" s="21" t="s">
        <v>1828</v>
      </c>
      <c r="G475" s="21" t="s">
        <v>117</v>
      </c>
      <c r="H475" s="19">
        <v>2012</v>
      </c>
      <c r="I475" s="21" t="s">
        <v>53</v>
      </c>
      <c r="J475" s="21" t="s">
        <v>169</v>
      </c>
      <c r="K475" s="21" t="s">
        <v>170</v>
      </c>
      <c r="L475" s="21" t="s">
        <v>24</v>
      </c>
      <c r="M475" s="21">
        <v>-1</v>
      </c>
      <c r="N475" s="19">
        <v>31</v>
      </c>
      <c r="O475" s="19">
        <v>56</v>
      </c>
      <c r="P475" s="19">
        <v>43.5</v>
      </c>
      <c r="Q475" s="19">
        <v>14</v>
      </c>
      <c r="R475" s="22" t="str">
        <f>IF(Cleaned_DS_jobs!$Q475&lt;10,"little_age_company",IF(AND(Cleaned_DS_jobs!$Q475&gt;=10,Cleaned_DS_jobs!$Q475&lt;=20),"average_age_company","Big_age_company"))</f>
        <v>average_age_company</v>
      </c>
    </row>
    <row r="476" spans="1:18" ht="19.95" customHeight="1" x14ac:dyDescent="0.3">
      <c r="A476" s="13" t="s">
        <v>26</v>
      </c>
      <c r="B476" s="14" t="s">
        <v>1724</v>
      </c>
      <c r="C476" s="14">
        <v>3</v>
      </c>
      <c r="D476" s="15" t="s">
        <v>2221</v>
      </c>
      <c r="E476" s="14" t="s">
        <v>647</v>
      </c>
      <c r="F476" s="16" t="s">
        <v>1772</v>
      </c>
      <c r="G476" s="16" t="s">
        <v>20</v>
      </c>
      <c r="H476" s="14">
        <v>1887</v>
      </c>
      <c r="I476" s="16" t="s">
        <v>53</v>
      </c>
      <c r="J476" s="16" t="s">
        <v>291</v>
      </c>
      <c r="K476" s="16" t="s">
        <v>23</v>
      </c>
      <c r="L476" s="16" t="s">
        <v>79</v>
      </c>
      <c r="M476" s="16">
        <v>-1</v>
      </c>
      <c r="N476" s="14">
        <v>31</v>
      </c>
      <c r="O476" s="14">
        <v>56</v>
      </c>
      <c r="P476" s="14">
        <v>43.5</v>
      </c>
      <c r="Q476" s="14">
        <v>139</v>
      </c>
      <c r="R476" s="17" t="str">
        <f>IF(Cleaned_DS_jobs!$Q476&lt;10,"little_age_company",IF(AND(Cleaned_DS_jobs!$Q476&gt;=10,Cleaned_DS_jobs!$Q476&lt;=20),"average_age_company","Big_age_company"))</f>
        <v>Big_age_company</v>
      </c>
    </row>
    <row r="477" spans="1:18" ht="19.95" customHeight="1" x14ac:dyDescent="0.3">
      <c r="A477" s="18" t="s">
        <v>26</v>
      </c>
      <c r="B477" s="19" t="s">
        <v>1724</v>
      </c>
      <c r="C477" s="19">
        <v>3.7</v>
      </c>
      <c r="D477" s="20" t="s">
        <v>2289</v>
      </c>
      <c r="E477" s="19" t="s">
        <v>163</v>
      </c>
      <c r="F477" s="21" t="s">
        <v>1765</v>
      </c>
      <c r="G477" s="21" t="s">
        <v>31</v>
      </c>
      <c r="H477" s="19">
        <v>2000</v>
      </c>
      <c r="I477" s="21" t="s">
        <v>32</v>
      </c>
      <c r="J477" s="21" t="s">
        <v>1003</v>
      </c>
      <c r="K477" s="21" t="s">
        <v>170</v>
      </c>
      <c r="L477" s="21" t="s">
        <v>79</v>
      </c>
      <c r="M477" s="21">
        <v>-1</v>
      </c>
      <c r="N477" s="19">
        <v>31</v>
      </c>
      <c r="O477" s="19">
        <v>56</v>
      </c>
      <c r="P477" s="19">
        <v>43.5</v>
      </c>
      <c r="Q477" s="19">
        <v>26</v>
      </c>
      <c r="R477" s="22" t="str">
        <f>IF(Cleaned_DS_jobs!$Q477&lt;10,"little_age_company",IF(AND(Cleaned_DS_jobs!$Q477&gt;=10,Cleaned_DS_jobs!$Q477&lt;=20),"average_age_company","Big_age_company"))</f>
        <v>Big_age_company</v>
      </c>
    </row>
    <row r="478" spans="1:18" ht="19.95" customHeight="1" x14ac:dyDescent="0.3">
      <c r="A478" s="13" t="s">
        <v>26</v>
      </c>
      <c r="B478" s="14" t="s">
        <v>1724</v>
      </c>
      <c r="C478" s="14">
        <v>4.5</v>
      </c>
      <c r="D478" s="15" t="s">
        <v>2290</v>
      </c>
      <c r="E478" s="14" t="s">
        <v>111</v>
      </c>
      <c r="F478" s="16" t="s">
        <v>1744</v>
      </c>
      <c r="G478" s="16" t="s">
        <v>117</v>
      </c>
      <c r="H478" s="14">
        <v>-1</v>
      </c>
      <c r="I478" s="16" t="s">
        <v>53</v>
      </c>
      <c r="J478" s="16" t="s">
        <v>1972</v>
      </c>
      <c r="K478" s="16" t="s">
        <v>1972</v>
      </c>
      <c r="L478" s="16" t="s">
        <v>431</v>
      </c>
      <c r="M478" s="16">
        <v>-1</v>
      </c>
      <c r="N478" s="14">
        <v>31</v>
      </c>
      <c r="O478" s="14">
        <v>56</v>
      </c>
      <c r="P478" s="14">
        <v>43.5</v>
      </c>
      <c r="Q478" s="14">
        <v>-1</v>
      </c>
      <c r="R478" s="17" t="str">
        <f>IF(Cleaned_DS_jobs!$Q478&lt;10,"little_age_company",IF(AND(Cleaned_DS_jobs!$Q478&gt;=10,Cleaned_DS_jobs!$Q478&lt;=20),"average_age_company","Big_age_company"))</f>
        <v>little_age_company</v>
      </c>
    </row>
    <row r="479" spans="1:18" ht="19.95" customHeight="1" x14ac:dyDescent="0.3">
      <c r="A479" s="18" t="s">
        <v>26</v>
      </c>
      <c r="B479" s="19" t="s">
        <v>1724</v>
      </c>
      <c r="C479" s="19">
        <v>2.8</v>
      </c>
      <c r="D479" s="20" t="s">
        <v>2291</v>
      </c>
      <c r="E479" s="19" t="s">
        <v>652</v>
      </c>
      <c r="F479" s="21" t="s">
        <v>1840</v>
      </c>
      <c r="G479" s="21" t="s">
        <v>52</v>
      </c>
      <c r="H479" s="19">
        <v>1987</v>
      </c>
      <c r="I479" s="21" t="s">
        <v>21</v>
      </c>
      <c r="J479" s="21" t="s">
        <v>1342</v>
      </c>
      <c r="K479" s="21" t="s">
        <v>1343</v>
      </c>
      <c r="L479" s="21" t="s">
        <v>164</v>
      </c>
      <c r="M479" s="21">
        <v>-1</v>
      </c>
      <c r="N479" s="19">
        <v>31</v>
      </c>
      <c r="O479" s="19">
        <v>56</v>
      </c>
      <c r="P479" s="19">
        <v>43.5</v>
      </c>
      <c r="Q479" s="19">
        <v>39</v>
      </c>
      <c r="R479" s="22" t="str">
        <f>IF(Cleaned_DS_jobs!$Q479&lt;10,"little_age_company",IF(AND(Cleaned_DS_jobs!$Q479&gt;=10,Cleaned_DS_jobs!$Q479&lt;=20),"average_age_company","Big_age_company"))</f>
        <v>Big_age_company</v>
      </c>
    </row>
    <row r="480" spans="1:18" ht="19.95" customHeight="1" x14ac:dyDescent="0.3">
      <c r="A480" s="13" t="s">
        <v>26</v>
      </c>
      <c r="B480" s="14" t="s">
        <v>1724</v>
      </c>
      <c r="C480" s="14">
        <v>4.0999999999999996</v>
      </c>
      <c r="D480" s="15" t="s">
        <v>2292</v>
      </c>
      <c r="E480" s="14" t="s">
        <v>258</v>
      </c>
      <c r="F480" s="16" t="s">
        <v>1781</v>
      </c>
      <c r="G480" s="16" t="s">
        <v>107</v>
      </c>
      <c r="H480" s="14">
        <v>-1</v>
      </c>
      <c r="I480" s="16" t="s">
        <v>53</v>
      </c>
      <c r="J480" s="16" t="s">
        <v>1972</v>
      </c>
      <c r="K480" s="16" t="s">
        <v>1972</v>
      </c>
      <c r="L480" s="16" t="s">
        <v>160</v>
      </c>
      <c r="M480" s="16">
        <v>-1</v>
      </c>
      <c r="N480" s="14">
        <v>31</v>
      </c>
      <c r="O480" s="14">
        <v>56</v>
      </c>
      <c r="P480" s="14">
        <v>43.5</v>
      </c>
      <c r="Q480" s="14">
        <v>-1</v>
      </c>
      <c r="R480" s="17" t="str">
        <f>IF(Cleaned_DS_jobs!$Q480&lt;10,"little_age_company",IF(AND(Cleaned_DS_jobs!$Q480&gt;=10,Cleaned_DS_jobs!$Q480&lt;=20),"average_age_company","Big_age_company"))</f>
        <v>little_age_company</v>
      </c>
    </row>
    <row r="481" spans="1:18" ht="19.95" customHeight="1" x14ac:dyDescent="0.3">
      <c r="A481" s="18" t="s">
        <v>739</v>
      </c>
      <c r="B481" s="19" t="s">
        <v>1724</v>
      </c>
      <c r="C481" s="19">
        <v>2.9</v>
      </c>
      <c r="D481" s="20" t="s">
        <v>2136</v>
      </c>
      <c r="E481" s="19" t="s">
        <v>742</v>
      </c>
      <c r="F481" s="21" t="s">
        <v>1854</v>
      </c>
      <c r="G481" s="21" t="s">
        <v>107</v>
      </c>
      <c r="H481" s="19">
        <v>1996</v>
      </c>
      <c r="I481" s="21" t="s">
        <v>32</v>
      </c>
      <c r="J481" s="21" t="s">
        <v>744</v>
      </c>
      <c r="K481" s="21" t="s">
        <v>100</v>
      </c>
      <c r="L481" s="21" t="s">
        <v>194</v>
      </c>
      <c r="M481" s="21">
        <v>-1</v>
      </c>
      <c r="N481" s="19">
        <v>31</v>
      </c>
      <c r="O481" s="19">
        <v>56</v>
      </c>
      <c r="P481" s="19">
        <v>43.5</v>
      </c>
      <c r="Q481" s="19">
        <v>30</v>
      </c>
      <c r="R481" s="22" t="str">
        <f>IF(Cleaned_DS_jobs!$Q481&lt;10,"little_age_company",IF(AND(Cleaned_DS_jobs!$Q481&gt;=10,Cleaned_DS_jobs!$Q481&lt;=20),"average_age_company","Big_age_company"))</f>
        <v>Big_age_company</v>
      </c>
    </row>
    <row r="482" spans="1:18" ht="19.95" customHeight="1" x14ac:dyDescent="0.3">
      <c r="A482" s="13" t="s">
        <v>26</v>
      </c>
      <c r="B482" s="14" t="s">
        <v>1724</v>
      </c>
      <c r="C482" s="14">
        <v>4.7</v>
      </c>
      <c r="D482" s="15" t="s">
        <v>2225</v>
      </c>
      <c r="E482" s="14" t="s">
        <v>29</v>
      </c>
      <c r="F482" s="16" t="s">
        <v>1817</v>
      </c>
      <c r="G482" s="16" t="s">
        <v>107</v>
      </c>
      <c r="H482" s="14">
        <v>2002</v>
      </c>
      <c r="I482" s="16" t="s">
        <v>301</v>
      </c>
      <c r="J482" s="16" t="s">
        <v>59</v>
      </c>
      <c r="K482" s="16" t="s">
        <v>60</v>
      </c>
      <c r="L482" s="16" t="s">
        <v>41</v>
      </c>
      <c r="M482" s="16" t="s">
        <v>1092</v>
      </c>
      <c r="N482" s="14">
        <v>31</v>
      </c>
      <c r="O482" s="14">
        <v>56</v>
      </c>
      <c r="P482" s="14">
        <v>43.5</v>
      </c>
      <c r="Q482" s="14">
        <v>24</v>
      </c>
      <c r="R482" s="17" t="str">
        <f>IF(Cleaned_DS_jobs!$Q482&lt;10,"little_age_company",IF(AND(Cleaned_DS_jobs!$Q482&gt;=10,Cleaned_DS_jobs!$Q482&lt;=20),"average_age_company","Big_age_company"))</f>
        <v>Big_age_company</v>
      </c>
    </row>
    <row r="483" spans="1:18" ht="19.95" customHeight="1" x14ac:dyDescent="0.3">
      <c r="A483" s="18" t="s">
        <v>26</v>
      </c>
      <c r="B483" s="19" t="s">
        <v>1724</v>
      </c>
      <c r="C483" s="19">
        <v>3.4</v>
      </c>
      <c r="D483" s="20" t="s">
        <v>2293</v>
      </c>
      <c r="E483" s="19" t="s">
        <v>1348</v>
      </c>
      <c r="F483" s="21" t="s">
        <v>1942</v>
      </c>
      <c r="G483" s="21" t="s">
        <v>20</v>
      </c>
      <c r="H483" s="19">
        <v>1998</v>
      </c>
      <c r="I483" s="21" t="s">
        <v>53</v>
      </c>
      <c r="J483" s="21" t="s">
        <v>1350</v>
      </c>
      <c r="K483" s="21" t="s">
        <v>1351</v>
      </c>
      <c r="L483" s="21" t="s">
        <v>41</v>
      </c>
      <c r="M483" s="21">
        <v>-1</v>
      </c>
      <c r="N483" s="19">
        <v>31</v>
      </c>
      <c r="O483" s="19">
        <v>56</v>
      </c>
      <c r="P483" s="19">
        <v>43.5</v>
      </c>
      <c r="Q483" s="19">
        <v>28</v>
      </c>
      <c r="R483" s="22" t="str">
        <f>IF(Cleaned_DS_jobs!$Q483&lt;10,"little_age_company",IF(AND(Cleaned_DS_jobs!$Q483&gt;=10,Cleaned_DS_jobs!$Q483&lt;=20),"average_age_company","Big_age_company"))</f>
        <v>Big_age_company</v>
      </c>
    </row>
    <row r="484" spans="1:18" ht="19.95" customHeight="1" x14ac:dyDescent="0.3">
      <c r="A484" s="13" t="s">
        <v>26</v>
      </c>
      <c r="B484" s="14" t="s">
        <v>1724</v>
      </c>
      <c r="C484" s="14">
        <v>3.9</v>
      </c>
      <c r="D484" s="15" t="s">
        <v>2294</v>
      </c>
      <c r="E484" s="14" t="s">
        <v>143</v>
      </c>
      <c r="F484" s="16" t="s">
        <v>1943</v>
      </c>
      <c r="G484" s="16" t="s">
        <v>20</v>
      </c>
      <c r="H484" s="14">
        <v>1995</v>
      </c>
      <c r="I484" s="16" t="s">
        <v>301</v>
      </c>
      <c r="J484" s="16" t="s">
        <v>286</v>
      </c>
      <c r="K484" s="16" t="s">
        <v>34</v>
      </c>
      <c r="L484" s="16" t="s">
        <v>79</v>
      </c>
      <c r="M484" s="16" t="s">
        <v>1355</v>
      </c>
      <c r="N484" s="14">
        <v>31</v>
      </c>
      <c r="O484" s="14">
        <v>56</v>
      </c>
      <c r="P484" s="14">
        <v>43.5</v>
      </c>
      <c r="Q484" s="14">
        <v>31</v>
      </c>
      <c r="R484" s="17" t="str">
        <f>IF(Cleaned_DS_jobs!$Q484&lt;10,"little_age_company",IF(AND(Cleaned_DS_jobs!$Q484&gt;=10,Cleaned_DS_jobs!$Q484&lt;=20),"average_age_company","Big_age_company"))</f>
        <v>Big_age_company</v>
      </c>
    </row>
    <row r="485" spans="1:18" ht="19.95" customHeight="1" x14ac:dyDescent="0.3">
      <c r="A485" s="18" t="s">
        <v>26</v>
      </c>
      <c r="B485" s="19" t="s">
        <v>1724</v>
      </c>
      <c r="C485" s="19">
        <v>2.9</v>
      </c>
      <c r="D485" s="20" t="s">
        <v>2295</v>
      </c>
      <c r="E485" s="19" t="s">
        <v>192</v>
      </c>
      <c r="F485" s="21" t="s">
        <v>1806</v>
      </c>
      <c r="G485" s="21" t="s">
        <v>107</v>
      </c>
      <c r="H485" s="19">
        <v>1985</v>
      </c>
      <c r="I485" s="21" t="s">
        <v>53</v>
      </c>
      <c r="J485" s="21" t="s">
        <v>92</v>
      </c>
      <c r="K485" s="21" t="s">
        <v>60</v>
      </c>
      <c r="L485" s="21" t="s">
        <v>41</v>
      </c>
      <c r="M485" s="21">
        <v>-1</v>
      </c>
      <c r="N485" s="19">
        <v>31</v>
      </c>
      <c r="O485" s="19">
        <v>56</v>
      </c>
      <c r="P485" s="19">
        <v>43.5</v>
      </c>
      <c r="Q485" s="19">
        <v>41</v>
      </c>
      <c r="R485" s="22" t="str">
        <f>IF(Cleaned_DS_jobs!$Q485&lt;10,"little_age_company",IF(AND(Cleaned_DS_jobs!$Q485&gt;=10,Cleaned_DS_jobs!$Q485&lt;=20),"average_age_company","Big_age_company"))</f>
        <v>Big_age_company</v>
      </c>
    </row>
    <row r="486" spans="1:18" ht="19.95" customHeight="1" x14ac:dyDescent="0.3">
      <c r="A486" s="13" t="s">
        <v>1095</v>
      </c>
      <c r="B486" s="14" t="s">
        <v>1724</v>
      </c>
      <c r="C486" s="14">
        <v>4.5</v>
      </c>
      <c r="D486" s="15" t="s">
        <v>2226</v>
      </c>
      <c r="E486" s="14" t="s">
        <v>1098</v>
      </c>
      <c r="F486" s="16" t="s">
        <v>1911</v>
      </c>
      <c r="G486" s="16" t="s">
        <v>31</v>
      </c>
      <c r="H486" s="14">
        <v>1942</v>
      </c>
      <c r="I486" s="16" t="s">
        <v>21</v>
      </c>
      <c r="J486" s="16" t="s">
        <v>175</v>
      </c>
      <c r="K486" s="16" t="s">
        <v>175</v>
      </c>
      <c r="L486" s="16" t="s">
        <v>35</v>
      </c>
      <c r="M486" s="16" t="s">
        <v>1099</v>
      </c>
      <c r="N486" s="14">
        <v>31</v>
      </c>
      <c r="O486" s="14">
        <v>56</v>
      </c>
      <c r="P486" s="14">
        <v>43.5</v>
      </c>
      <c r="Q486" s="14">
        <v>84</v>
      </c>
      <c r="R486" s="17" t="str">
        <f>IF(Cleaned_DS_jobs!$Q486&lt;10,"little_age_company",IF(AND(Cleaned_DS_jobs!$Q486&gt;=10,Cleaned_DS_jobs!$Q486&lt;=20),"average_age_company","Big_age_company"))</f>
        <v>Big_age_company</v>
      </c>
    </row>
    <row r="487" spans="1:18" ht="19.95" customHeight="1" x14ac:dyDescent="0.3">
      <c r="A487" s="18" t="s">
        <v>26</v>
      </c>
      <c r="B487" s="19" t="s">
        <v>1724</v>
      </c>
      <c r="C487" s="19">
        <v>4.9000000000000004</v>
      </c>
      <c r="D487" s="20" t="s">
        <v>2227</v>
      </c>
      <c r="E487" s="19" t="s">
        <v>64</v>
      </c>
      <c r="F487" s="21" t="s">
        <v>1779</v>
      </c>
      <c r="G487" s="21" t="s">
        <v>117</v>
      </c>
      <c r="H487" s="19">
        <v>2010</v>
      </c>
      <c r="I487" s="21" t="s">
        <v>53</v>
      </c>
      <c r="J487" s="21" t="s">
        <v>84</v>
      </c>
      <c r="K487" s="21" t="s">
        <v>60</v>
      </c>
      <c r="L487" s="21" t="s">
        <v>24</v>
      </c>
      <c r="M487" s="21">
        <v>-1</v>
      </c>
      <c r="N487" s="19">
        <v>31</v>
      </c>
      <c r="O487" s="19">
        <v>56</v>
      </c>
      <c r="P487" s="19">
        <v>43.5</v>
      </c>
      <c r="Q487" s="19">
        <v>16</v>
      </c>
      <c r="R487" s="22" t="str">
        <f>IF(Cleaned_DS_jobs!$Q487&lt;10,"little_age_company",IF(AND(Cleaned_DS_jobs!$Q487&gt;=10,Cleaned_DS_jobs!$Q487&lt;=20),"average_age_company","Big_age_company"))</f>
        <v>average_age_company</v>
      </c>
    </row>
    <row r="488" spans="1:18" ht="19.95" customHeight="1" x14ac:dyDescent="0.3">
      <c r="A488" s="13" t="s">
        <v>1678</v>
      </c>
      <c r="B488" s="14" t="s">
        <v>1724</v>
      </c>
      <c r="C488" s="14">
        <v>5</v>
      </c>
      <c r="D488" s="15" t="s">
        <v>2137</v>
      </c>
      <c r="E488" s="14" t="s">
        <v>485</v>
      </c>
      <c r="F488" s="16" t="s">
        <v>1855</v>
      </c>
      <c r="G488" s="16" t="s">
        <v>117</v>
      </c>
      <c r="H488" s="14">
        <v>2011</v>
      </c>
      <c r="I488" s="16" t="s">
        <v>53</v>
      </c>
      <c r="J488" s="16" t="s">
        <v>92</v>
      </c>
      <c r="K488" s="16" t="s">
        <v>60</v>
      </c>
      <c r="L488" s="16" t="s">
        <v>212</v>
      </c>
      <c r="M488" s="16">
        <v>-1</v>
      </c>
      <c r="N488" s="14">
        <v>31</v>
      </c>
      <c r="O488" s="14">
        <v>56</v>
      </c>
      <c r="P488" s="14">
        <v>43.5</v>
      </c>
      <c r="Q488" s="14">
        <v>15</v>
      </c>
      <c r="R488" s="17" t="str">
        <f>IF(Cleaned_DS_jobs!$Q488&lt;10,"little_age_company",IF(AND(Cleaned_DS_jobs!$Q488&gt;=10,Cleaned_DS_jobs!$Q488&lt;=20),"average_age_company","Big_age_company"))</f>
        <v>average_age_company</v>
      </c>
    </row>
    <row r="489" spans="1:18" ht="19.95" customHeight="1" x14ac:dyDescent="0.3">
      <c r="A489" s="18" t="s">
        <v>326</v>
      </c>
      <c r="B489" s="19" t="s">
        <v>1725</v>
      </c>
      <c r="C489" s="19">
        <v>3.3</v>
      </c>
      <c r="D489" s="20" t="s">
        <v>2037</v>
      </c>
      <c r="E489" s="19" t="s">
        <v>328</v>
      </c>
      <c r="F489" s="21" t="s">
        <v>1752</v>
      </c>
      <c r="G489" s="21" t="s">
        <v>46</v>
      </c>
      <c r="H489" s="19">
        <v>2015</v>
      </c>
      <c r="I489" s="21" t="s">
        <v>53</v>
      </c>
      <c r="J489" s="21" t="s">
        <v>67</v>
      </c>
      <c r="K489" s="21" t="s">
        <v>67</v>
      </c>
      <c r="L489" s="21" t="s">
        <v>24</v>
      </c>
      <c r="M489" s="21">
        <v>-1</v>
      </c>
      <c r="N489" s="19">
        <v>95</v>
      </c>
      <c r="O489" s="19">
        <v>119</v>
      </c>
      <c r="P489" s="19">
        <v>107</v>
      </c>
      <c r="Q489" s="19">
        <v>11</v>
      </c>
      <c r="R489" s="22" t="str">
        <f>IF(Cleaned_DS_jobs!$Q489&lt;10,"little_age_company",IF(AND(Cleaned_DS_jobs!$Q489&gt;=10,Cleaned_DS_jobs!$Q489&lt;=20),"average_age_company","Big_age_company"))</f>
        <v>average_age_company</v>
      </c>
    </row>
    <row r="490" spans="1:18" ht="19.95" customHeight="1" x14ac:dyDescent="0.3">
      <c r="A490" s="13" t="s">
        <v>26</v>
      </c>
      <c r="B490" s="14" t="s">
        <v>1725</v>
      </c>
      <c r="C490" s="14">
        <v>3.5</v>
      </c>
      <c r="D490" s="15" t="s">
        <v>2044</v>
      </c>
      <c r="E490" s="14" t="s">
        <v>111</v>
      </c>
      <c r="F490" s="16" t="s">
        <v>1796</v>
      </c>
      <c r="G490" s="16" t="s">
        <v>20</v>
      </c>
      <c r="H490" s="14">
        <v>2019</v>
      </c>
      <c r="I490" s="16" t="s">
        <v>53</v>
      </c>
      <c r="J490" s="16" t="s">
        <v>123</v>
      </c>
      <c r="K490" s="16" t="s">
        <v>60</v>
      </c>
      <c r="L490" s="16" t="s">
        <v>24</v>
      </c>
      <c r="M490" s="16" t="s">
        <v>354</v>
      </c>
      <c r="N490" s="14">
        <v>95</v>
      </c>
      <c r="O490" s="14">
        <v>119</v>
      </c>
      <c r="P490" s="14">
        <v>107</v>
      </c>
      <c r="Q490" s="14">
        <v>7</v>
      </c>
      <c r="R490" s="17" t="str">
        <f>IF(Cleaned_DS_jobs!$Q490&lt;10,"little_age_company",IF(AND(Cleaned_DS_jobs!$Q490&gt;=10,Cleaned_DS_jobs!$Q490&lt;=20),"average_age_company","Big_age_company"))</f>
        <v>little_age_company</v>
      </c>
    </row>
    <row r="491" spans="1:18" ht="19.95" customHeight="1" x14ac:dyDescent="0.3">
      <c r="A491" s="18" t="s">
        <v>26</v>
      </c>
      <c r="B491" s="19" t="s">
        <v>1725</v>
      </c>
      <c r="C491" s="19">
        <v>3.5</v>
      </c>
      <c r="D491" s="20" t="s">
        <v>2296</v>
      </c>
      <c r="E491" s="19" t="s">
        <v>1361</v>
      </c>
      <c r="F491" s="21" t="s">
        <v>1944</v>
      </c>
      <c r="G491" s="21" t="s">
        <v>117</v>
      </c>
      <c r="H491" s="19">
        <v>2010</v>
      </c>
      <c r="I491" s="21" t="s">
        <v>53</v>
      </c>
      <c r="J491" s="21" t="s">
        <v>139</v>
      </c>
      <c r="K491" s="21" t="s">
        <v>140</v>
      </c>
      <c r="L491" s="21" t="s">
        <v>212</v>
      </c>
      <c r="M491" s="21">
        <v>-1</v>
      </c>
      <c r="N491" s="19">
        <v>95</v>
      </c>
      <c r="O491" s="19">
        <v>119</v>
      </c>
      <c r="P491" s="19">
        <v>107</v>
      </c>
      <c r="Q491" s="19">
        <v>16</v>
      </c>
      <c r="R491" s="22" t="str">
        <f>IF(Cleaned_DS_jobs!$Q491&lt;10,"little_age_company",IF(AND(Cleaned_DS_jobs!$Q491&gt;=10,Cleaned_DS_jobs!$Q491&lt;=20),"average_age_company","Big_age_company"))</f>
        <v>average_age_company</v>
      </c>
    </row>
    <row r="492" spans="1:18" ht="19.95" customHeight="1" x14ac:dyDescent="0.3">
      <c r="A492" s="13" t="s">
        <v>26</v>
      </c>
      <c r="B492" s="14" t="s">
        <v>1725</v>
      </c>
      <c r="C492" s="14">
        <v>4</v>
      </c>
      <c r="D492" s="15" t="s">
        <v>2297</v>
      </c>
      <c r="E492" s="14" t="s">
        <v>19</v>
      </c>
      <c r="F492" s="16" t="s">
        <v>1945</v>
      </c>
      <c r="G492" s="16" t="s">
        <v>117</v>
      </c>
      <c r="H492" s="14">
        <v>-1</v>
      </c>
      <c r="I492" s="16" t="s">
        <v>53</v>
      </c>
      <c r="J492" s="16" t="s">
        <v>1252</v>
      </c>
      <c r="K492" s="16" t="s">
        <v>1253</v>
      </c>
      <c r="L492" s="16" t="s">
        <v>431</v>
      </c>
      <c r="M492" s="16">
        <v>-1</v>
      </c>
      <c r="N492" s="14">
        <v>95</v>
      </c>
      <c r="O492" s="14">
        <v>119</v>
      </c>
      <c r="P492" s="14">
        <v>107</v>
      </c>
      <c r="Q492" s="14">
        <v>-1</v>
      </c>
      <c r="R492" s="17" t="str">
        <f>IF(Cleaned_DS_jobs!$Q492&lt;10,"little_age_company",IF(AND(Cleaned_DS_jobs!$Q492&gt;=10,Cleaned_DS_jobs!$Q492&lt;=20),"average_age_company","Big_age_company"))</f>
        <v>little_age_company</v>
      </c>
    </row>
    <row r="493" spans="1:18" ht="19.95" customHeight="1" x14ac:dyDescent="0.3">
      <c r="A493" s="18" t="s">
        <v>218</v>
      </c>
      <c r="B493" s="19" t="s">
        <v>1725</v>
      </c>
      <c r="C493" s="19">
        <v>3.9</v>
      </c>
      <c r="D493" s="20" t="s">
        <v>2229</v>
      </c>
      <c r="E493" s="19" t="s">
        <v>179</v>
      </c>
      <c r="F493" s="21" t="s">
        <v>1782</v>
      </c>
      <c r="G493" s="21" t="s">
        <v>52</v>
      </c>
      <c r="H493" s="19">
        <v>2012</v>
      </c>
      <c r="I493" s="21" t="s">
        <v>32</v>
      </c>
      <c r="J493" s="21" t="s">
        <v>40</v>
      </c>
      <c r="K493" s="21" t="s">
        <v>34</v>
      </c>
      <c r="L493" s="21" t="s">
        <v>212</v>
      </c>
      <c r="M493" s="21">
        <v>-1</v>
      </c>
      <c r="N493" s="19">
        <v>95</v>
      </c>
      <c r="O493" s="19">
        <v>119</v>
      </c>
      <c r="P493" s="19">
        <v>107</v>
      </c>
      <c r="Q493" s="19">
        <v>14</v>
      </c>
      <c r="R493" s="22" t="str">
        <f>IF(Cleaned_DS_jobs!$Q493&lt;10,"little_age_company",IF(AND(Cleaned_DS_jobs!$Q493&gt;=10,Cleaned_DS_jobs!$Q493&lt;=20),"average_age_company","Big_age_company"))</f>
        <v>average_age_company</v>
      </c>
    </row>
    <row r="494" spans="1:18" ht="19.95" customHeight="1" x14ac:dyDescent="0.3">
      <c r="A494" s="13" t="s">
        <v>26</v>
      </c>
      <c r="B494" s="14" t="s">
        <v>1725</v>
      </c>
      <c r="C494" s="14">
        <v>3.4</v>
      </c>
      <c r="D494" s="15" t="s">
        <v>2138</v>
      </c>
      <c r="E494" s="14" t="s">
        <v>44</v>
      </c>
      <c r="F494" s="16" t="s">
        <v>1807</v>
      </c>
      <c r="G494" s="16" t="s">
        <v>107</v>
      </c>
      <c r="H494" s="14">
        <v>1990</v>
      </c>
      <c r="I494" s="16" t="s">
        <v>301</v>
      </c>
      <c r="J494" s="16" t="s">
        <v>286</v>
      </c>
      <c r="K494" s="16" t="s">
        <v>34</v>
      </c>
      <c r="L494" s="16" t="s">
        <v>41</v>
      </c>
      <c r="M494" s="16" t="s">
        <v>751</v>
      </c>
      <c r="N494" s="14">
        <v>95</v>
      </c>
      <c r="O494" s="14">
        <v>119</v>
      </c>
      <c r="P494" s="14">
        <v>107</v>
      </c>
      <c r="Q494" s="14">
        <v>36</v>
      </c>
      <c r="R494" s="17" t="str">
        <f>IF(Cleaned_DS_jobs!$Q494&lt;10,"little_age_company",IF(AND(Cleaned_DS_jobs!$Q494&gt;=10,Cleaned_DS_jobs!$Q494&lt;=20),"average_age_company","Big_age_company"))</f>
        <v>Big_age_company</v>
      </c>
    </row>
    <row r="495" spans="1:18" ht="19.95" customHeight="1" x14ac:dyDescent="0.3">
      <c r="A495" s="18" t="s">
        <v>26</v>
      </c>
      <c r="B495" s="19" t="s">
        <v>1725</v>
      </c>
      <c r="C495" s="19">
        <v>3.5</v>
      </c>
      <c r="D495" s="20" t="s">
        <v>2298</v>
      </c>
      <c r="E495" s="19" t="s">
        <v>143</v>
      </c>
      <c r="F495" s="21" t="s">
        <v>1763</v>
      </c>
      <c r="G495" s="21" t="s">
        <v>66</v>
      </c>
      <c r="H495" s="19">
        <v>1969</v>
      </c>
      <c r="I495" s="21" t="s">
        <v>32</v>
      </c>
      <c r="J495" s="21" t="s">
        <v>1368</v>
      </c>
      <c r="K495" s="21" t="s">
        <v>73</v>
      </c>
      <c r="L495" s="21" t="s">
        <v>68</v>
      </c>
      <c r="M495" s="21" t="s">
        <v>1369</v>
      </c>
      <c r="N495" s="19">
        <v>95</v>
      </c>
      <c r="O495" s="19">
        <v>119</v>
      </c>
      <c r="P495" s="19">
        <v>107</v>
      </c>
      <c r="Q495" s="19">
        <v>57</v>
      </c>
      <c r="R495" s="22" t="str">
        <f>IF(Cleaned_DS_jobs!$Q495&lt;10,"little_age_company",IF(AND(Cleaned_DS_jobs!$Q495&gt;=10,Cleaned_DS_jobs!$Q495&lt;=20),"average_age_company","Big_age_company"))</f>
        <v>Big_age_company</v>
      </c>
    </row>
    <row r="496" spans="1:18" ht="19.95" customHeight="1" x14ac:dyDescent="0.3">
      <c r="A496" s="13" t="s">
        <v>26</v>
      </c>
      <c r="B496" s="14" t="s">
        <v>1725</v>
      </c>
      <c r="C496" s="14">
        <v>4.7</v>
      </c>
      <c r="D496" s="15" t="s">
        <v>2299</v>
      </c>
      <c r="E496" s="14" t="s">
        <v>111</v>
      </c>
      <c r="F496" s="16" t="s">
        <v>1946</v>
      </c>
      <c r="G496" s="16" t="s">
        <v>117</v>
      </c>
      <c r="H496" s="14">
        <v>-1</v>
      </c>
      <c r="I496" s="16" t="s">
        <v>53</v>
      </c>
      <c r="J496" s="16" t="s">
        <v>1972</v>
      </c>
      <c r="K496" s="16" t="s">
        <v>1972</v>
      </c>
      <c r="L496" s="16" t="s">
        <v>212</v>
      </c>
      <c r="M496" s="16">
        <v>-1</v>
      </c>
      <c r="N496" s="14">
        <v>95</v>
      </c>
      <c r="O496" s="14">
        <v>119</v>
      </c>
      <c r="P496" s="14">
        <v>107</v>
      </c>
      <c r="Q496" s="14">
        <v>-1</v>
      </c>
      <c r="R496" s="17" t="str">
        <f>IF(Cleaned_DS_jobs!$Q496&lt;10,"little_age_company",IF(AND(Cleaned_DS_jobs!$Q496&gt;=10,Cleaned_DS_jobs!$Q496&lt;=20),"average_age_company","Big_age_company"))</f>
        <v>little_age_company</v>
      </c>
    </row>
    <row r="497" spans="1:18" ht="19.95" customHeight="1" x14ac:dyDescent="0.3">
      <c r="A497" s="18" t="s">
        <v>26</v>
      </c>
      <c r="B497" s="19" t="s">
        <v>1725</v>
      </c>
      <c r="C497" s="19">
        <v>-1</v>
      </c>
      <c r="D497" s="20" t="s">
        <v>1109</v>
      </c>
      <c r="E497" s="19" t="s">
        <v>143</v>
      </c>
      <c r="F497" s="21">
        <v>-1</v>
      </c>
      <c r="G497" s="21" t="s">
        <v>1972</v>
      </c>
      <c r="H497" s="19">
        <v>-1</v>
      </c>
      <c r="I497" s="21" t="s">
        <v>1972</v>
      </c>
      <c r="J497" s="21" t="s">
        <v>1972</v>
      </c>
      <c r="K497" s="21" t="s">
        <v>1972</v>
      </c>
      <c r="L497" s="21" t="s">
        <v>1972</v>
      </c>
      <c r="M497" s="21">
        <v>-1</v>
      </c>
      <c r="N497" s="19">
        <v>95</v>
      </c>
      <c r="O497" s="19">
        <v>119</v>
      </c>
      <c r="P497" s="19">
        <v>107</v>
      </c>
      <c r="Q497" s="19">
        <v>-1</v>
      </c>
      <c r="R497" s="22" t="str">
        <f>IF(Cleaned_DS_jobs!$Q497&lt;10,"little_age_company",IF(AND(Cleaned_DS_jobs!$Q497&gt;=10,Cleaned_DS_jobs!$Q497&lt;=20),"average_age_company","Big_age_company"))</f>
        <v>little_age_company</v>
      </c>
    </row>
    <row r="498" spans="1:18" ht="19.95" customHeight="1" x14ac:dyDescent="0.3">
      <c r="A498" s="13" t="s">
        <v>26</v>
      </c>
      <c r="B498" s="14" t="s">
        <v>1725</v>
      </c>
      <c r="C498" s="14">
        <v>-1</v>
      </c>
      <c r="D498" s="15" t="s">
        <v>1109</v>
      </c>
      <c r="E498" s="14" t="s">
        <v>143</v>
      </c>
      <c r="F498" s="16">
        <v>-1</v>
      </c>
      <c r="G498" s="16" t="s">
        <v>1972</v>
      </c>
      <c r="H498" s="14">
        <v>-1</v>
      </c>
      <c r="I498" s="16" t="s">
        <v>1972</v>
      </c>
      <c r="J498" s="16" t="s">
        <v>1972</v>
      </c>
      <c r="K498" s="16" t="s">
        <v>1972</v>
      </c>
      <c r="L498" s="16" t="s">
        <v>1972</v>
      </c>
      <c r="M498" s="16">
        <v>-1</v>
      </c>
      <c r="N498" s="14">
        <v>95</v>
      </c>
      <c r="O498" s="14">
        <v>119</v>
      </c>
      <c r="P498" s="14">
        <v>107</v>
      </c>
      <c r="Q498" s="14">
        <v>-1</v>
      </c>
      <c r="R498" s="17" t="str">
        <f>IF(Cleaned_DS_jobs!$Q498&lt;10,"little_age_company",IF(AND(Cleaned_DS_jobs!$Q498&gt;=10,Cleaned_DS_jobs!$Q498&lt;=20),"average_age_company","Big_age_company"))</f>
        <v>little_age_company</v>
      </c>
    </row>
    <row r="499" spans="1:18" ht="19.95" customHeight="1" x14ac:dyDescent="0.3">
      <c r="A499" s="18" t="s">
        <v>26</v>
      </c>
      <c r="B499" s="19" t="s">
        <v>1725</v>
      </c>
      <c r="C499" s="19">
        <v>-1</v>
      </c>
      <c r="D499" s="20" t="s">
        <v>1109</v>
      </c>
      <c r="E499" s="19" t="s">
        <v>143</v>
      </c>
      <c r="F499" s="21">
        <v>-1</v>
      </c>
      <c r="G499" s="21" t="s">
        <v>1972</v>
      </c>
      <c r="H499" s="19">
        <v>-1</v>
      </c>
      <c r="I499" s="21" t="s">
        <v>1972</v>
      </c>
      <c r="J499" s="21" t="s">
        <v>1972</v>
      </c>
      <c r="K499" s="21" t="s">
        <v>1972</v>
      </c>
      <c r="L499" s="21" t="s">
        <v>1972</v>
      </c>
      <c r="M499" s="21">
        <v>-1</v>
      </c>
      <c r="N499" s="19">
        <v>95</v>
      </c>
      <c r="O499" s="19">
        <v>119</v>
      </c>
      <c r="P499" s="19">
        <v>107</v>
      </c>
      <c r="Q499" s="19">
        <v>-1</v>
      </c>
      <c r="R499" s="22" t="str">
        <f>IF(Cleaned_DS_jobs!$Q499&lt;10,"little_age_company",IF(AND(Cleaned_DS_jobs!$Q499&gt;=10,Cleaned_DS_jobs!$Q499&lt;=20),"average_age_company","Big_age_company"))</f>
        <v>little_age_company</v>
      </c>
    </row>
    <row r="500" spans="1:18" ht="19.95" customHeight="1" x14ac:dyDescent="0.3">
      <c r="A500" s="13" t="s">
        <v>26</v>
      </c>
      <c r="B500" s="14" t="s">
        <v>1725</v>
      </c>
      <c r="C500" s="14">
        <v>-1</v>
      </c>
      <c r="D500" s="15" t="s">
        <v>1109</v>
      </c>
      <c r="E500" s="14" t="s">
        <v>143</v>
      </c>
      <c r="F500" s="16">
        <v>-1</v>
      </c>
      <c r="G500" s="16" t="s">
        <v>1972</v>
      </c>
      <c r="H500" s="14">
        <v>-1</v>
      </c>
      <c r="I500" s="16" t="s">
        <v>1972</v>
      </c>
      <c r="J500" s="16" t="s">
        <v>1972</v>
      </c>
      <c r="K500" s="16" t="s">
        <v>1972</v>
      </c>
      <c r="L500" s="16" t="s">
        <v>1972</v>
      </c>
      <c r="M500" s="16">
        <v>-1</v>
      </c>
      <c r="N500" s="14">
        <v>95</v>
      </c>
      <c r="O500" s="14">
        <v>119</v>
      </c>
      <c r="P500" s="14">
        <v>107</v>
      </c>
      <c r="Q500" s="14">
        <v>-1</v>
      </c>
      <c r="R500" s="17" t="str">
        <f>IF(Cleaned_DS_jobs!$Q500&lt;10,"little_age_company",IF(AND(Cleaned_DS_jobs!$Q500&gt;=10,Cleaned_DS_jobs!$Q500&lt;=20),"average_age_company","Big_age_company"))</f>
        <v>little_age_company</v>
      </c>
    </row>
    <row r="501" spans="1:18" ht="19.95" customHeight="1" x14ac:dyDescent="0.3">
      <c r="A501" s="18" t="s">
        <v>26</v>
      </c>
      <c r="B501" s="19" t="s">
        <v>1725</v>
      </c>
      <c r="C501" s="19">
        <v>-1</v>
      </c>
      <c r="D501" s="20" t="s">
        <v>1109</v>
      </c>
      <c r="E501" s="19" t="s">
        <v>143</v>
      </c>
      <c r="F501" s="21">
        <v>-1</v>
      </c>
      <c r="G501" s="21" t="s">
        <v>1972</v>
      </c>
      <c r="H501" s="19">
        <v>-1</v>
      </c>
      <c r="I501" s="21" t="s">
        <v>1972</v>
      </c>
      <c r="J501" s="21" t="s">
        <v>1972</v>
      </c>
      <c r="K501" s="21" t="s">
        <v>1972</v>
      </c>
      <c r="L501" s="21" t="s">
        <v>1972</v>
      </c>
      <c r="M501" s="21">
        <v>-1</v>
      </c>
      <c r="N501" s="19">
        <v>95</v>
      </c>
      <c r="O501" s="19">
        <v>119</v>
      </c>
      <c r="P501" s="19">
        <v>107</v>
      </c>
      <c r="Q501" s="19">
        <v>-1</v>
      </c>
      <c r="R501" s="22" t="str">
        <f>IF(Cleaned_DS_jobs!$Q501&lt;10,"little_age_company",IF(AND(Cleaned_DS_jobs!$Q501&gt;=10,Cleaned_DS_jobs!$Q501&lt;=20),"average_age_company","Big_age_company"))</f>
        <v>little_age_company</v>
      </c>
    </row>
    <row r="502" spans="1:18" ht="19.95" customHeight="1" x14ac:dyDescent="0.3">
      <c r="A502" s="13" t="s">
        <v>26</v>
      </c>
      <c r="B502" s="14" t="s">
        <v>1725</v>
      </c>
      <c r="C502" s="14">
        <v>-1</v>
      </c>
      <c r="D502" s="15" t="s">
        <v>1109</v>
      </c>
      <c r="E502" s="14" t="s">
        <v>143</v>
      </c>
      <c r="F502" s="16">
        <v>-1</v>
      </c>
      <c r="G502" s="16" t="s">
        <v>1972</v>
      </c>
      <c r="H502" s="14">
        <v>-1</v>
      </c>
      <c r="I502" s="16" t="s">
        <v>1972</v>
      </c>
      <c r="J502" s="16" t="s">
        <v>1972</v>
      </c>
      <c r="K502" s="16" t="s">
        <v>1972</v>
      </c>
      <c r="L502" s="16" t="s">
        <v>1972</v>
      </c>
      <c r="M502" s="16">
        <v>-1</v>
      </c>
      <c r="N502" s="14">
        <v>95</v>
      </c>
      <c r="O502" s="14">
        <v>119</v>
      </c>
      <c r="P502" s="14">
        <v>107</v>
      </c>
      <c r="Q502" s="14">
        <v>-1</v>
      </c>
      <c r="R502" s="17" t="str">
        <f>IF(Cleaned_DS_jobs!$Q502&lt;10,"little_age_company",IF(AND(Cleaned_DS_jobs!$Q502&gt;=10,Cleaned_DS_jobs!$Q502&lt;=20),"average_age_company","Big_age_company"))</f>
        <v>little_age_company</v>
      </c>
    </row>
    <row r="503" spans="1:18" ht="19.95" customHeight="1" x14ac:dyDescent="0.3">
      <c r="A503" s="18" t="s">
        <v>26</v>
      </c>
      <c r="B503" s="19" t="s">
        <v>1725</v>
      </c>
      <c r="C503" s="19">
        <v>4.5999999999999996</v>
      </c>
      <c r="D503" s="20" t="s">
        <v>2300</v>
      </c>
      <c r="E503" s="19" t="s">
        <v>1375</v>
      </c>
      <c r="F503" s="21" t="s">
        <v>1872</v>
      </c>
      <c r="G503" s="21" t="s">
        <v>117</v>
      </c>
      <c r="H503" s="19">
        <v>1988</v>
      </c>
      <c r="I503" s="21" t="s">
        <v>53</v>
      </c>
      <c r="J503" s="21" t="s">
        <v>286</v>
      </c>
      <c r="K503" s="21" t="s">
        <v>34</v>
      </c>
      <c r="L503" s="21" t="s">
        <v>160</v>
      </c>
      <c r="M503" s="21">
        <v>-1</v>
      </c>
      <c r="N503" s="19">
        <v>95</v>
      </c>
      <c r="O503" s="19">
        <v>119</v>
      </c>
      <c r="P503" s="19">
        <v>107</v>
      </c>
      <c r="Q503" s="19">
        <v>38</v>
      </c>
      <c r="R503" s="22" t="str">
        <f>IF(Cleaned_DS_jobs!$Q503&lt;10,"little_age_company",IF(AND(Cleaned_DS_jobs!$Q503&gt;=10,Cleaned_DS_jobs!$Q503&lt;=20),"average_age_company","Big_age_company"))</f>
        <v>Big_age_company</v>
      </c>
    </row>
    <row r="504" spans="1:18" ht="19.95" customHeight="1" x14ac:dyDescent="0.3">
      <c r="A504" s="13" t="s">
        <v>26</v>
      </c>
      <c r="B504" s="14" t="s">
        <v>1725</v>
      </c>
      <c r="C504" s="14">
        <v>4</v>
      </c>
      <c r="D504" s="15" t="s">
        <v>2301</v>
      </c>
      <c r="E504" s="14" t="s">
        <v>193</v>
      </c>
      <c r="F504" s="16" t="s">
        <v>1848</v>
      </c>
      <c r="G504" s="16" t="s">
        <v>52</v>
      </c>
      <c r="H504" s="14">
        <v>1999</v>
      </c>
      <c r="I504" s="16" t="s">
        <v>53</v>
      </c>
      <c r="J504" s="16" t="s">
        <v>59</v>
      </c>
      <c r="K504" s="16" t="s">
        <v>60</v>
      </c>
      <c r="L504" s="16" t="s">
        <v>160</v>
      </c>
      <c r="M504" s="16">
        <v>-1</v>
      </c>
      <c r="N504" s="14">
        <v>95</v>
      </c>
      <c r="O504" s="14">
        <v>119</v>
      </c>
      <c r="P504" s="14">
        <v>107</v>
      </c>
      <c r="Q504" s="14">
        <v>27</v>
      </c>
      <c r="R504" s="17" t="str">
        <f>IF(Cleaned_DS_jobs!$Q504&lt;10,"little_age_company",IF(AND(Cleaned_DS_jobs!$Q504&gt;=10,Cleaned_DS_jobs!$Q504&lt;=20),"average_age_company","Big_age_company"))</f>
        <v>Big_age_company</v>
      </c>
    </row>
    <row r="505" spans="1:18" ht="19.95" customHeight="1" x14ac:dyDescent="0.3">
      <c r="A505" s="18" t="s">
        <v>26</v>
      </c>
      <c r="B505" s="19" t="s">
        <v>1725</v>
      </c>
      <c r="C505" s="19">
        <v>4</v>
      </c>
      <c r="D505" s="20" t="s">
        <v>2302</v>
      </c>
      <c r="E505" s="19" t="s">
        <v>83</v>
      </c>
      <c r="F505" s="21" t="s">
        <v>1947</v>
      </c>
      <c r="G505" s="21" t="s">
        <v>117</v>
      </c>
      <c r="H505" s="19">
        <v>-1</v>
      </c>
      <c r="I505" s="21" t="s">
        <v>53</v>
      </c>
      <c r="J505" s="21" t="s">
        <v>286</v>
      </c>
      <c r="K505" s="21" t="s">
        <v>34</v>
      </c>
      <c r="L505" s="21" t="s">
        <v>212</v>
      </c>
      <c r="M505" s="21">
        <v>-1</v>
      </c>
      <c r="N505" s="19">
        <v>95</v>
      </c>
      <c r="O505" s="19">
        <v>119</v>
      </c>
      <c r="P505" s="19">
        <v>107</v>
      </c>
      <c r="Q505" s="19">
        <v>-1</v>
      </c>
      <c r="R505" s="22" t="str">
        <f>IF(Cleaned_DS_jobs!$Q505&lt;10,"little_age_company",IF(AND(Cleaned_DS_jobs!$Q505&gt;=10,Cleaned_DS_jobs!$Q505&lt;=20),"average_age_company","Big_age_company"))</f>
        <v>little_age_company</v>
      </c>
    </row>
    <row r="506" spans="1:18" ht="19.95" customHeight="1" x14ac:dyDescent="0.3">
      <c r="A506" s="13" t="s">
        <v>26</v>
      </c>
      <c r="B506" s="14" t="s">
        <v>1725</v>
      </c>
      <c r="C506" s="14">
        <v>-1</v>
      </c>
      <c r="D506" s="15" t="s">
        <v>1382</v>
      </c>
      <c r="E506" s="14" t="s">
        <v>29</v>
      </c>
      <c r="F506" s="16">
        <v>-1</v>
      </c>
      <c r="G506" s="16" t="s">
        <v>117</v>
      </c>
      <c r="H506" s="14">
        <v>-1</v>
      </c>
      <c r="I506" s="16" t="s">
        <v>688</v>
      </c>
      <c r="J506" s="16" t="s">
        <v>1972</v>
      </c>
      <c r="K506" s="16" t="s">
        <v>1972</v>
      </c>
      <c r="L506" s="16" t="s">
        <v>24</v>
      </c>
      <c r="M506" s="16">
        <v>-1</v>
      </c>
      <c r="N506" s="14">
        <v>95</v>
      </c>
      <c r="O506" s="14">
        <v>119</v>
      </c>
      <c r="P506" s="14">
        <v>107</v>
      </c>
      <c r="Q506" s="14">
        <v>-1</v>
      </c>
      <c r="R506" s="17" t="str">
        <f>IF(Cleaned_DS_jobs!$Q506&lt;10,"little_age_company",IF(AND(Cleaned_DS_jobs!$Q506&gt;=10,Cleaned_DS_jobs!$Q506&lt;=20),"average_age_company","Big_age_company"))</f>
        <v>little_age_company</v>
      </c>
    </row>
    <row r="507" spans="1:18" ht="19.95" customHeight="1" x14ac:dyDescent="0.3">
      <c r="A507" s="18" t="s">
        <v>26</v>
      </c>
      <c r="B507" s="19" t="s">
        <v>1725</v>
      </c>
      <c r="C507" s="19">
        <v>4.7</v>
      </c>
      <c r="D507" s="20" t="s">
        <v>2303</v>
      </c>
      <c r="E507" s="19" t="s">
        <v>83</v>
      </c>
      <c r="F507" s="21" t="s">
        <v>1948</v>
      </c>
      <c r="G507" s="21" t="s">
        <v>52</v>
      </c>
      <c r="H507" s="19">
        <v>1994</v>
      </c>
      <c r="I507" s="21" t="s">
        <v>53</v>
      </c>
      <c r="J507" s="21" t="s">
        <v>286</v>
      </c>
      <c r="K507" s="21" t="s">
        <v>34</v>
      </c>
      <c r="L507" s="21" t="s">
        <v>160</v>
      </c>
      <c r="M507" s="21">
        <v>-1</v>
      </c>
      <c r="N507" s="19">
        <v>95</v>
      </c>
      <c r="O507" s="19">
        <v>119</v>
      </c>
      <c r="P507" s="19">
        <v>107</v>
      </c>
      <c r="Q507" s="19">
        <v>32</v>
      </c>
      <c r="R507" s="22" t="str">
        <f>IF(Cleaned_DS_jobs!$Q507&lt;10,"little_age_company",IF(AND(Cleaned_DS_jobs!$Q507&gt;=10,Cleaned_DS_jobs!$Q507&lt;=20),"average_age_company","Big_age_company"))</f>
        <v>Big_age_company</v>
      </c>
    </row>
    <row r="508" spans="1:18" ht="19.95" customHeight="1" x14ac:dyDescent="0.3">
      <c r="A508" s="13" t="s">
        <v>26</v>
      </c>
      <c r="B508" s="14" t="s">
        <v>1725</v>
      </c>
      <c r="C508" s="14">
        <v>3.5</v>
      </c>
      <c r="D508" s="15" t="s">
        <v>2304</v>
      </c>
      <c r="E508" s="14" t="s">
        <v>143</v>
      </c>
      <c r="F508" s="16" t="s">
        <v>1763</v>
      </c>
      <c r="G508" s="16" t="s">
        <v>52</v>
      </c>
      <c r="H508" s="14">
        <v>1998</v>
      </c>
      <c r="I508" s="16" t="s">
        <v>53</v>
      </c>
      <c r="J508" s="16" t="s">
        <v>40</v>
      </c>
      <c r="K508" s="16" t="s">
        <v>34</v>
      </c>
      <c r="L508" s="16" t="s">
        <v>164</v>
      </c>
      <c r="M508" s="16">
        <v>-1</v>
      </c>
      <c r="N508" s="14">
        <v>95</v>
      </c>
      <c r="O508" s="14">
        <v>119</v>
      </c>
      <c r="P508" s="14">
        <v>107</v>
      </c>
      <c r="Q508" s="14">
        <v>28</v>
      </c>
      <c r="R508" s="17" t="str">
        <f>IF(Cleaned_DS_jobs!$Q508&lt;10,"little_age_company",IF(AND(Cleaned_DS_jobs!$Q508&gt;=10,Cleaned_DS_jobs!$Q508&lt;=20),"average_age_company","Big_age_company"))</f>
        <v>Big_age_company</v>
      </c>
    </row>
    <row r="509" spans="1:18" ht="19.95" customHeight="1" x14ac:dyDescent="0.3">
      <c r="A509" s="18" t="s">
        <v>1679</v>
      </c>
      <c r="B509" s="19" t="s">
        <v>1725</v>
      </c>
      <c r="C509" s="19">
        <v>5</v>
      </c>
      <c r="D509" s="20" t="s">
        <v>2137</v>
      </c>
      <c r="E509" s="19" t="s">
        <v>755</v>
      </c>
      <c r="F509" s="21" t="s">
        <v>1855</v>
      </c>
      <c r="G509" s="21" t="s">
        <v>117</v>
      </c>
      <c r="H509" s="19">
        <v>2011</v>
      </c>
      <c r="I509" s="21" t="s">
        <v>53</v>
      </c>
      <c r="J509" s="21" t="s">
        <v>92</v>
      </c>
      <c r="K509" s="21" t="s">
        <v>60</v>
      </c>
      <c r="L509" s="21" t="s">
        <v>212</v>
      </c>
      <c r="M509" s="21">
        <v>-1</v>
      </c>
      <c r="N509" s="19">
        <v>95</v>
      </c>
      <c r="O509" s="19">
        <v>119</v>
      </c>
      <c r="P509" s="19">
        <v>107</v>
      </c>
      <c r="Q509" s="19">
        <v>15</v>
      </c>
      <c r="R509" s="22" t="str">
        <f>IF(Cleaned_DS_jobs!$Q509&lt;10,"little_age_company",IF(AND(Cleaned_DS_jobs!$Q509&gt;=10,Cleaned_DS_jobs!$Q509&lt;=20),"average_age_company","Big_age_company"))</f>
        <v>average_age_company</v>
      </c>
    </row>
    <row r="510" spans="1:18" ht="19.95" customHeight="1" x14ac:dyDescent="0.3">
      <c r="A510" s="13" t="s">
        <v>1388</v>
      </c>
      <c r="B510" s="14" t="s">
        <v>1726</v>
      </c>
      <c r="C510" s="14">
        <v>4.0999999999999996</v>
      </c>
      <c r="D510" s="15" t="s">
        <v>2305</v>
      </c>
      <c r="E510" s="14" t="s">
        <v>869</v>
      </c>
      <c r="F510" s="16" t="s">
        <v>1749</v>
      </c>
      <c r="G510" s="16" t="s">
        <v>66</v>
      </c>
      <c r="H510" s="14">
        <v>1896</v>
      </c>
      <c r="I510" s="16" t="s">
        <v>32</v>
      </c>
      <c r="J510" s="16" t="s">
        <v>67</v>
      </c>
      <c r="K510" s="16" t="s">
        <v>67</v>
      </c>
      <c r="L510" s="16" t="s">
        <v>68</v>
      </c>
      <c r="M510" s="16" t="s">
        <v>1392</v>
      </c>
      <c r="N510" s="14">
        <v>212</v>
      </c>
      <c r="O510" s="14">
        <v>331</v>
      </c>
      <c r="P510" s="14">
        <v>271.5</v>
      </c>
      <c r="Q510" s="14">
        <v>130</v>
      </c>
      <c r="R510" s="17" t="str">
        <f>IF(Cleaned_DS_jobs!$Q510&lt;10,"little_age_company",IF(AND(Cleaned_DS_jobs!$Q510&gt;=10,Cleaned_DS_jobs!$Q510&lt;=20),"average_age_company","Big_age_company"))</f>
        <v>Big_age_company</v>
      </c>
    </row>
    <row r="511" spans="1:18" ht="19.95" customHeight="1" x14ac:dyDescent="0.3">
      <c r="A511" s="18" t="s">
        <v>363</v>
      </c>
      <c r="B511" s="19" t="s">
        <v>1726</v>
      </c>
      <c r="C511" s="19">
        <v>4</v>
      </c>
      <c r="D511" s="20" t="s">
        <v>2047</v>
      </c>
      <c r="E511" s="19" t="s">
        <v>1394</v>
      </c>
      <c r="F511" s="21" t="s">
        <v>1799</v>
      </c>
      <c r="G511" s="21" t="s">
        <v>66</v>
      </c>
      <c r="H511" s="19">
        <v>1913</v>
      </c>
      <c r="I511" s="21" t="s">
        <v>32</v>
      </c>
      <c r="J511" s="21" t="s">
        <v>67</v>
      </c>
      <c r="K511" s="21" t="s">
        <v>67</v>
      </c>
      <c r="L511" s="21" t="s">
        <v>68</v>
      </c>
      <c r="M511" s="21" t="s">
        <v>368</v>
      </c>
      <c r="N511" s="19">
        <v>212</v>
      </c>
      <c r="O511" s="19">
        <v>331</v>
      </c>
      <c r="P511" s="19">
        <v>271.5</v>
      </c>
      <c r="Q511" s="19">
        <v>113</v>
      </c>
      <c r="R511" s="22" t="str">
        <f>IF(Cleaned_DS_jobs!$Q511&lt;10,"little_age_company",IF(AND(Cleaned_DS_jobs!$Q511&gt;=10,Cleaned_DS_jobs!$Q511&lt;=20),"average_age_company","Big_age_company"))</f>
        <v>Big_age_company</v>
      </c>
    </row>
    <row r="512" spans="1:18" ht="19.95" customHeight="1" x14ac:dyDescent="0.3">
      <c r="A512" s="13" t="s">
        <v>26</v>
      </c>
      <c r="B512" s="14" t="s">
        <v>1726</v>
      </c>
      <c r="C512" s="14">
        <v>3.6</v>
      </c>
      <c r="D512" s="15" t="s">
        <v>2306</v>
      </c>
      <c r="E512" s="14" t="s">
        <v>192</v>
      </c>
      <c r="F512" s="16" t="s">
        <v>1924</v>
      </c>
      <c r="G512" s="16" t="s">
        <v>107</v>
      </c>
      <c r="H512" s="14">
        <v>2002</v>
      </c>
      <c r="I512" s="16" t="s">
        <v>32</v>
      </c>
      <c r="J512" s="16" t="s">
        <v>286</v>
      </c>
      <c r="K512" s="16" t="s">
        <v>34</v>
      </c>
      <c r="L512" s="16" t="s">
        <v>24</v>
      </c>
      <c r="M512" s="16" t="s">
        <v>1397</v>
      </c>
      <c r="N512" s="14">
        <v>212</v>
      </c>
      <c r="O512" s="14">
        <v>331</v>
      </c>
      <c r="P512" s="14">
        <v>271.5</v>
      </c>
      <c r="Q512" s="14">
        <v>24</v>
      </c>
      <c r="R512" s="17" t="str">
        <f>IF(Cleaned_DS_jobs!$Q512&lt;10,"little_age_company",IF(AND(Cleaned_DS_jobs!$Q512&gt;=10,Cleaned_DS_jobs!$Q512&lt;=20),"average_age_company","Big_age_company"))</f>
        <v>Big_age_company</v>
      </c>
    </row>
    <row r="513" spans="1:18" ht="19.95" customHeight="1" x14ac:dyDescent="0.3">
      <c r="A513" s="18" t="s">
        <v>1695</v>
      </c>
      <c r="B513" s="19" t="s">
        <v>1726</v>
      </c>
      <c r="C513" s="19">
        <v>5</v>
      </c>
      <c r="D513" s="20" t="s">
        <v>2307</v>
      </c>
      <c r="E513" s="19" t="s">
        <v>19</v>
      </c>
      <c r="F513" s="21" t="s">
        <v>1949</v>
      </c>
      <c r="G513" s="21" t="s">
        <v>117</v>
      </c>
      <c r="H513" s="19">
        <v>1987</v>
      </c>
      <c r="I513" s="21" t="s">
        <v>53</v>
      </c>
      <c r="J513" s="21" t="s">
        <v>286</v>
      </c>
      <c r="K513" s="21" t="s">
        <v>34</v>
      </c>
      <c r="L513" s="21" t="s">
        <v>24</v>
      </c>
      <c r="M513" s="21">
        <v>-1</v>
      </c>
      <c r="N513" s="19">
        <v>212</v>
      </c>
      <c r="O513" s="19">
        <v>331</v>
      </c>
      <c r="P513" s="19">
        <v>271.5</v>
      </c>
      <c r="Q513" s="19">
        <v>39</v>
      </c>
      <c r="R513" s="22" t="str">
        <f>IF(Cleaned_DS_jobs!$Q513&lt;10,"little_age_company",IF(AND(Cleaned_DS_jobs!$Q513&gt;=10,Cleaned_DS_jobs!$Q513&lt;=20),"average_age_company","Big_age_company"))</f>
        <v>Big_age_company</v>
      </c>
    </row>
    <row r="514" spans="1:18" ht="19.95" customHeight="1" x14ac:dyDescent="0.3">
      <c r="A514" s="13" t="s">
        <v>240</v>
      </c>
      <c r="B514" s="14" t="s">
        <v>1726</v>
      </c>
      <c r="C514" s="14">
        <v>3.5</v>
      </c>
      <c r="D514" s="15" t="s">
        <v>2071</v>
      </c>
      <c r="E514" s="14" t="s">
        <v>30</v>
      </c>
      <c r="F514" s="16" t="s">
        <v>1815</v>
      </c>
      <c r="G514" s="16" t="s">
        <v>31</v>
      </c>
      <c r="H514" s="14">
        <v>-1</v>
      </c>
      <c r="I514" s="16" t="s">
        <v>32</v>
      </c>
      <c r="J514" s="16" t="s">
        <v>175</v>
      </c>
      <c r="K514" s="16" t="s">
        <v>175</v>
      </c>
      <c r="L514" s="16" t="s">
        <v>79</v>
      </c>
      <c r="M514" s="16">
        <v>-1</v>
      </c>
      <c r="N514" s="14">
        <v>212</v>
      </c>
      <c r="O514" s="14">
        <v>331</v>
      </c>
      <c r="P514" s="14">
        <v>271.5</v>
      </c>
      <c r="Q514" s="14">
        <v>-1</v>
      </c>
      <c r="R514" s="17" t="str">
        <f>IF(Cleaned_DS_jobs!$Q514&lt;10,"little_age_company",IF(AND(Cleaned_DS_jobs!$Q514&gt;=10,Cleaned_DS_jobs!$Q514&lt;=20),"average_age_company","Big_age_company"))</f>
        <v>little_age_company</v>
      </c>
    </row>
    <row r="515" spans="1:18" ht="19.95" customHeight="1" x14ac:dyDescent="0.3">
      <c r="A515" s="18" t="s">
        <v>26</v>
      </c>
      <c r="B515" s="19" t="s">
        <v>1726</v>
      </c>
      <c r="C515" s="19">
        <v>4.7</v>
      </c>
      <c r="D515" s="20" t="s">
        <v>2308</v>
      </c>
      <c r="E515" s="19" t="s">
        <v>193</v>
      </c>
      <c r="F515" s="21" t="s">
        <v>1950</v>
      </c>
      <c r="G515" s="21" t="s">
        <v>688</v>
      </c>
      <c r="H515" s="19">
        <v>-1</v>
      </c>
      <c r="I515" s="21" t="s">
        <v>53</v>
      </c>
      <c r="J515" s="21" t="s">
        <v>1404</v>
      </c>
      <c r="K515" s="21" t="s">
        <v>469</v>
      </c>
      <c r="L515" s="21" t="s">
        <v>431</v>
      </c>
      <c r="M515" s="21">
        <v>-1</v>
      </c>
      <c r="N515" s="19">
        <v>212</v>
      </c>
      <c r="O515" s="19">
        <v>331</v>
      </c>
      <c r="P515" s="19">
        <v>271.5</v>
      </c>
      <c r="Q515" s="19">
        <v>-1</v>
      </c>
      <c r="R515" s="22" t="str">
        <f>IF(Cleaned_DS_jobs!$Q515&lt;10,"little_age_company",IF(AND(Cleaned_DS_jobs!$Q515&gt;=10,Cleaned_DS_jobs!$Q515&lt;=20),"average_age_company","Big_age_company"))</f>
        <v>little_age_company</v>
      </c>
    </row>
    <row r="516" spans="1:18" ht="19.95" customHeight="1" x14ac:dyDescent="0.3">
      <c r="A516" s="13" t="s">
        <v>26</v>
      </c>
      <c r="B516" s="14" t="s">
        <v>1726</v>
      </c>
      <c r="C516" s="14">
        <v>3.5</v>
      </c>
      <c r="D516" s="15" t="s">
        <v>2071</v>
      </c>
      <c r="E516" s="14" t="s">
        <v>30</v>
      </c>
      <c r="F516" s="16" t="s">
        <v>1815</v>
      </c>
      <c r="G516" s="16" t="s">
        <v>31</v>
      </c>
      <c r="H516" s="14">
        <v>-1</v>
      </c>
      <c r="I516" s="16" t="s">
        <v>32</v>
      </c>
      <c r="J516" s="16" t="s">
        <v>175</v>
      </c>
      <c r="K516" s="16" t="s">
        <v>175</v>
      </c>
      <c r="L516" s="16" t="s">
        <v>79</v>
      </c>
      <c r="M516" s="16">
        <v>-1</v>
      </c>
      <c r="N516" s="14">
        <v>212</v>
      </c>
      <c r="O516" s="14">
        <v>331</v>
      </c>
      <c r="P516" s="14">
        <v>271.5</v>
      </c>
      <c r="Q516" s="14">
        <v>-1</v>
      </c>
      <c r="R516" s="17" t="str">
        <f>IF(Cleaned_DS_jobs!$Q516&lt;10,"little_age_company",IF(AND(Cleaned_DS_jobs!$Q516&gt;=10,Cleaned_DS_jobs!$Q516&lt;=20),"average_age_company","Big_age_company"))</f>
        <v>little_age_company</v>
      </c>
    </row>
    <row r="517" spans="1:18" ht="19.95" customHeight="1" x14ac:dyDescent="0.3">
      <c r="A517" s="18" t="s">
        <v>26</v>
      </c>
      <c r="B517" s="19" t="s">
        <v>1726</v>
      </c>
      <c r="C517" s="19">
        <v>3.6</v>
      </c>
      <c r="D517" s="20" t="s">
        <v>2309</v>
      </c>
      <c r="E517" s="19" t="s">
        <v>1407</v>
      </c>
      <c r="F517" s="21" t="s">
        <v>1951</v>
      </c>
      <c r="G517" s="21" t="s">
        <v>46</v>
      </c>
      <c r="H517" s="19">
        <v>-1</v>
      </c>
      <c r="I517" s="21" t="s">
        <v>98</v>
      </c>
      <c r="J517" s="21" t="s">
        <v>1972</v>
      </c>
      <c r="K517" s="21" t="s">
        <v>1972</v>
      </c>
      <c r="L517" s="21" t="s">
        <v>24</v>
      </c>
      <c r="M517" s="21">
        <v>-1</v>
      </c>
      <c r="N517" s="19">
        <v>212</v>
      </c>
      <c r="O517" s="19">
        <v>331</v>
      </c>
      <c r="P517" s="19">
        <v>271.5</v>
      </c>
      <c r="Q517" s="19">
        <v>-1</v>
      </c>
      <c r="R517" s="22" t="str">
        <f>IF(Cleaned_DS_jobs!$Q517&lt;10,"little_age_company",IF(AND(Cleaned_DS_jobs!$Q517&gt;=10,Cleaned_DS_jobs!$Q517&lt;=20),"average_age_company","Big_age_company"))</f>
        <v>little_age_company</v>
      </c>
    </row>
    <row r="518" spans="1:18" ht="19.95" customHeight="1" x14ac:dyDescent="0.3">
      <c r="A518" s="13" t="s">
        <v>1680</v>
      </c>
      <c r="B518" s="14" t="s">
        <v>1726</v>
      </c>
      <c r="C518" s="14">
        <v>3.9</v>
      </c>
      <c r="D518" s="15" t="s">
        <v>2139</v>
      </c>
      <c r="E518" s="14" t="s">
        <v>760</v>
      </c>
      <c r="F518" s="16" t="s">
        <v>1856</v>
      </c>
      <c r="G518" s="16" t="s">
        <v>20</v>
      </c>
      <c r="H518" s="14">
        <v>1947</v>
      </c>
      <c r="I518" s="16" t="s">
        <v>21</v>
      </c>
      <c r="J518" s="16" t="s">
        <v>33</v>
      </c>
      <c r="K518" s="16" t="s">
        <v>34</v>
      </c>
      <c r="L518" s="16" t="s">
        <v>101</v>
      </c>
      <c r="M518" s="16" t="s">
        <v>762</v>
      </c>
      <c r="N518" s="14">
        <v>212</v>
      </c>
      <c r="O518" s="14">
        <v>331</v>
      </c>
      <c r="P518" s="14">
        <v>271.5</v>
      </c>
      <c r="Q518" s="14">
        <v>79</v>
      </c>
      <c r="R518" s="17" t="str">
        <f>IF(Cleaned_DS_jobs!$Q518&lt;10,"little_age_company",IF(AND(Cleaned_DS_jobs!$Q518&gt;=10,Cleaned_DS_jobs!$Q518&lt;=20),"average_age_company","Big_age_company"))</f>
        <v>Big_age_company</v>
      </c>
    </row>
    <row r="519" spans="1:18" ht="19.95" customHeight="1" x14ac:dyDescent="0.3">
      <c r="A519" s="18" t="s">
        <v>26</v>
      </c>
      <c r="B519" s="19" t="s">
        <v>1726</v>
      </c>
      <c r="C519" s="19">
        <v>2.7</v>
      </c>
      <c r="D519" s="20" t="s">
        <v>2310</v>
      </c>
      <c r="E519" s="19" t="s">
        <v>1411</v>
      </c>
      <c r="F519" s="21" t="s">
        <v>1773</v>
      </c>
      <c r="G519" s="21" t="s">
        <v>52</v>
      </c>
      <c r="H519" s="19">
        <v>2010</v>
      </c>
      <c r="I519" s="21" t="s">
        <v>32</v>
      </c>
      <c r="J519" s="21" t="s">
        <v>175</v>
      </c>
      <c r="K519" s="21" t="s">
        <v>175</v>
      </c>
      <c r="L519" s="21" t="s">
        <v>24</v>
      </c>
      <c r="M519" s="21">
        <v>-1</v>
      </c>
      <c r="N519" s="19">
        <v>212</v>
      </c>
      <c r="O519" s="19">
        <v>331</v>
      </c>
      <c r="P519" s="19">
        <v>271.5</v>
      </c>
      <c r="Q519" s="19">
        <v>16</v>
      </c>
      <c r="R519" s="22" t="str">
        <f>IF(Cleaned_DS_jobs!$Q519&lt;10,"little_age_company",IF(AND(Cleaned_DS_jobs!$Q519&gt;=10,Cleaned_DS_jobs!$Q519&lt;=20),"average_age_company","Big_age_company"))</f>
        <v>average_age_company</v>
      </c>
    </row>
    <row r="520" spans="1:18" ht="19.95" customHeight="1" x14ac:dyDescent="0.3">
      <c r="A520" s="13" t="s">
        <v>756</v>
      </c>
      <c r="B520" s="14" t="s">
        <v>1726</v>
      </c>
      <c r="C520" s="14">
        <v>4.8</v>
      </c>
      <c r="D520" s="15" t="s">
        <v>2017</v>
      </c>
      <c r="E520" s="14" t="s">
        <v>38</v>
      </c>
      <c r="F520" s="16" t="s">
        <v>1746</v>
      </c>
      <c r="G520" s="16" t="s">
        <v>107</v>
      </c>
      <c r="H520" s="14">
        <v>2012</v>
      </c>
      <c r="I520" s="16" t="s">
        <v>53</v>
      </c>
      <c r="J520" s="16" t="s">
        <v>59</v>
      </c>
      <c r="K520" s="16" t="s">
        <v>60</v>
      </c>
      <c r="L520" s="16" t="s">
        <v>24</v>
      </c>
      <c r="M520" s="16">
        <v>-1</v>
      </c>
      <c r="N520" s="14">
        <v>212</v>
      </c>
      <c r="O520" s="14">
        <v>331</v>
      </c>
      <c r="P520" s="14">
        <v>271.5</v>
      </c>
      <c r="Q520" s="14">
        <v>14</v>
      </c>
      <c r="R520" s="17" t="str">
        <f>IF(Cleaned_DS_jobs!$Q520&lt;10,"little_age_company",IF(AND(Cleaned_DS_jobs!$Q520&gt;=10,Cleaned_DS_jobs!$Q520&lt;=20),"average_age_company","Big_age_company"))</f>
        <v>average_age_company</v>
      </c>
    </row>
    <row r="521" spans="1:18" ht="19.95" customHeight="1" x14ac:dyDescent="0.3">
      <c r="A521" s="18" t="s">
        <v>1412</v>
      </c>
      <c r="B521" s="19" t="s">
        <v>1726</v>
      </c>
      <c r="C521" s="19">
        <v>-1</v>
      </c>
      <c r="D521" s="20" t="s">
        <v>1414</v>
      </c>
      <c r="E521" s="19" t="s">
        <v>64</v>
      </c>
      <c r="F521" s="21">
        <v>-1</v>
      </c>
      <c r="G521" s="21" t="s">
        <v>1972</v>
      </c>
      <c r="H521" s="19">
        <v>-1</v>
      </c>
      <c r="I521" s="21" t="s">
        <v>1972</v>
      </c>
      <c r="J521" s="21" t="s">
        <v>1972</v>
      </c>
      <c r="K521" s="21" t="s">
        <v>1972</v>
      </c>
      <c r="L521" s="21" t="s">
        <v>1972</v>
      </c>
      <c r="M521" s="21">
        <v>-1</v>
      </c>
      <c r="N521" s="19">
        <v>212</v>
      </c>
      <c r="O521" s="19">
        <v>331</v>
      </c>
      <c r="P521" s="19">
        <v>271.5</v>
      </c>
      <c r="Q521" s="19">
        <v>-1</v>
      </c>
      <c r="R521" s="22" t="str">
        <f>IF(Cleaned_DS_jobs!$Q521&lt;10,"little_age_company",IF(AND(Cleaned_DS_jobs!$Q521&gt;=10,Cleaned_DS_jobs!$Q521&lt;=20),"average_age_company","Big_age_company"))</f>
        <v>little_age_company</v>
      </c>
    </row>
    <row r="522" spans="1:18" ht="19.95" customHeight="1" x14ac:dyDescent="0.3">
      <c r="A522" s="13" t="s">
        <v>26</v>
      </c>
      <c r="B522" s="14" t="s">
        <v>1726</v>
      </c>
      <c r="C522" s="14">
        <v>4</v>
      </c>
      <c r="D522" s="15" t="s">
        <v>2311</v>
      </c>
      <c r="E522" s="14" t="s">
        <v>111</v>
      </c>
      <c r="F522" s="16" t="s">
        <v>1877</v>
      </c>
      <c r="G522" s="16" t="s">
        <v>52</v>
      </c>
      <c r="H522" s="14">
        <v>-1</v>
      </c>
      <c r="I522" s="16" t="s">
        <v>53</v>
      </c>
      <c r="J522" s="16" t="s">
        <v>1417</v>
      </c>
      <c r="K522" s="16" t="s">
        <v>1418</v>
      </c>
      <c r="L522" s="16" t="s">
        <v>403</v>
      </c>
      <c r="M522" s="16">
        <v>-1</v>
      </c>
      <c r="N522" s="14">
        <v>212</v>
      </c>
      <c r="O522" s="14">
        <v>331</v>
      </c>
      <c r="P522" s="14">
        <v>271.5</v>
      </c>
      <c r="Q522" s="14">
        <v>-1</v>
      </c>
      <c r="R522" s="17" t="str">
        <f>IF(Cleaned_DS_jobs!$Q522&lt;10,"little_age_company",IF(AND(Cleaned_DS_jobs!$Q522&gt;=10,Cleaned_DS_jobs!$Q522&lt;=20),"average_age_company","Big_age_company"))</f>
        <v>little_age_company</v>
      </c>
    </row>
    <row r="523" spans="1:18" ht="19.95" customHeight="1" x14ac:dyDescent="0.3">
      <c r="A523" s="18" t="s">
        <v>26</v>
      </c>
      <c r="B523" s="19" t="s">
        <v>1726</v>
      </c>
      <c r="C523" s="19">
        <v>3.8</v>
      </c>
      <c r="D523" s="20" t="s">
        <v>2312</v>
      </c>
      <c r="E523" s="19" t="s">
        <v>111</v>
      </c>
      <c r="F523" s="21" t="s">
        <v>1840</v>
      </c>
      <c r="G523" s="21" t="s">
        <v>52</v>
      </c>
      <c r="H523" s="19">
        <v>2010</v>
      </c>
      <c r="I523" s="21" t="s">
        <v>32</v>
      </c>
      <c r="J523" s="21" t="s">
        <v>92</v>
      </c>
      <c r="K523" s="21" t="s">
        <v>60</v>
      </c>
      <c r="L523" s="21" t="s">
        <v>160</v>
      </c>
      <c r="M523" s="21">
        <v>-1</v>
      </c>
      <c r="N523" s="19">
        <v>212</v>
      </c>
      <c r="O523" s="19">
        <v>331</v>
      </c>
      <c r="P523" s="19">
        <v>271.5</v>
      </c>
      <c r="Q523" s="19">
        <v>16</v>
      </c>
      <c r="R523" s="22" t="str">
        <f>IF(Cleaned_DS_jobs!$Q523&lt;10,"little_age_company",IF(AND(Cleaned_DS_jobs!$Q523&gt;=10,Cleaned_DS_jobs!$Q523&lt;=20),"average_age_company","Big_age_company"))</f>
        <v>average_age_company</v>
      </c>
    </row>
    <row r="524" spans="1:18" ht="19.95" customHeight="1" x14ac:dyDescent="0.3">
      <c r="A524" s="13" t="s">
        <v>1421</v>
      </c>
      <c r="B524" s="14" t="s">
        <v>1726</v>
      </c>
      <c r="C524" s="14">
        <v>4.2</v>
      </c>
      <c r="D524" s="15" t="s">
        <v>2313</v>
      </c>
      <c r="E524" s="14" t="s">
        <v>1036</v>
      </c>
      <c r="F524" s="16" t="s">
        <v>1876</v>
      </c>
      <c r="G524" s="16" t="s">
        <v>46</v>
      </c>
      <c r="H524" s="14">
        <v>2012</v>
      </c>
      <c r="I524" s="16" t="s">
        <v>32</v>
      </c>
      <c r="J524" s="16" t="s">
        <v>67</v>
      </c>
      <c r="K524" s="16" t="s">
        <v>67</v>
      </c>
      <c r="L524" s="16" t="s">
        <v>24</v>
      </c>
      <c r="M524" s="16">
        <v>-1</v>
      </c>
      <c r="N524" s="14">
        <v>212</v>
      </c>
      <c r="O524" s="14">
        <v>331</v>
      </c>
      <c r="P524" s="14">
        <v>271.5</v>
      </c>
      <c r="Q524" s="14">
        <v>14</v>
      </c>
      <c r="R524" s="17" t="str">
        <f>IF(Cleaned_DS_jobs!$Q524&lt;10,"little_age_company",IF(AND(Cleaned_DS_jobs!$Q524&gt;=10,Cleaned_DS_jobs!$Q524&lt;=20),"average_age_company","Big_age_company"))</f>
        <v>average_age_company</v>
      </c>
    </row>
    <row r="525" spans="1:18" ht="19.95" customHeight="1" x14ac:dyDescent="0.3">
      <c r="A525" s="18" t="s">
        <v>1696</v>
      </c>
      <c r="B525" s="19" t="s">
        <v>1726</v>
      </c>
      <c r="C525" s="19">
        <v>3.9</v>
      </c>
      <c r="D525" s="20" t="s">
        <v>2139</v>
      </c>
      <c r="E525" s="19" t="s">
        <v>496</v>
      </c>
      <c r="F525" s="21" t="s">
        <v>1856</v>
      </c>
      <c r="G525" s="21" t="s">
        <v>20</v>
      </c>
      <c r="H525" s="19">
        <v>1947</v>
      </c>
      <c r="I525" s="21" t="s">
        <v>21</v>
      </c>
      <c r="J525" s="21" t="s">
        <v>33</v>
      </c>
      <c r="K525" s="21" t="s">
        <v>34</v>
      </c>
      <c r="L525" s="21" t="s">
        <v>101</v>
      </c>
      <c r="M525" s="21" t="s">
        <v>762</v>
      </c>
      <c r="N525" s="19">
        <v>212</v>
      </c>
      <c r="O525" s="19">
        <v>331</v>
      </c>
      <c r="P525" s="19">
        <v>271.5</v>
      </c>
      <c r="Q525" s="19">
        <v>79</v>
      </c>
      <c r="R525" s="22" t="str">
        <f>IF(Cleaned_DS_jobs!$Q525&lt;10,"little_age_company",IF(AND(Cleaned_DS_jobs!$Q525&gt;=10,Cleaned_DS_jobs!$Q525&lt;=20),"average_age_company","Big_age_company"))</f>
        <v>Big_age_company</v>
      </c>
    </row>
    <row r="526" spans="1:18" ht="19.95" customHeight="1" x14ac:dyDescent="0.3">
      <c r="A526" s="13" t="s">
        <v>26</v>
      </c>
      <c r="B526" s="14" t="s">
        <v>1726</v>
      </c>
      <c r="C526" s="14">
        <v>-1</v>
      </c>
      <c r="D526" s="15" t="s">
        <v>1740</v>
      </c>
      <c r="E526" s="14" t="s">
        <v>19</v>
      </c>
      <c r="F526" s="16" t="s">
        <v>1744</v>
      </c>
      <c r="G526" s="16" t="s">
        <v>688</v>
      </c>
      <c r="H526" s="14">
        <v>-1</v>
      </c>
      <c r="I526" s="16" t="s">
        <v>53</v>
      </c>
      <c r="J526" s="16" t="s">
        <v>1972</v>
      </c>
      <c r="K526" s="16" t="s">
        <v>1972</v>
      </c>
      <c r="L526" s="16" t="s">
        <v>24</v>
      </c>
      <c r="M526" s="16">
        <v>-1</v>
      </c>
      <c r="N526" s="14">
        <v>212</v>
      </c>
      <c r="O526" s="14">
        <v>331</v>
      </c>
      <c r="P526" s="14">
        <v>271.5</v>
      </c>
      <c r="Q526" s="14">
        <v>-1</v>
      </c>
      <c r="R526" s="17" t="str">
        <f>IF(Cleaned_DS_jobs!$Q526&lt;10,"little_age_company",IF(AND(Cleaned_DS_jobs!$Q526&gt;=10,Cleaned_DS_jobs!$Q526&lt;=20),"average_age_company","Big_age_company"))</f>
        <v>little_age_company</v>
      </c>
    </row>
    <row r="527" spans="1:18" ht="19.95" customHeight="1" x14ac:dyDescent="0.3">
      <c r="A527" s="18" t="s">
        <v>26</v>
      </c>
      <c r="B527" s="19" t="s">
        <v>1726</v>
      </c>
      <c r="C527" s="19">
        <v>4.5</v>
      </c>
      <c r="D527" s="20" t="s">
        <v>2233</v>
      </c>
      <c r="E527" s="19" t="s">
        <v>111</v>
      </c>
      <c r="F527" s="21" t="s">
        <v>1915</v>
      </c>
      <c r="G527" s="21" t="s">
        <v>117</v>
      </c>
      <c r="H527" s="19">
        <v>1980</v>
      </c>
      <c r="I527" s="21" t="s">
        <v>53</v>
      </c>
      <c r="J527" s="21" t="s">
        <v>286</v>
      </c>
      <c r="K527" s="21" t="s">
        <v>34</v>
      </c>
      <c r="L527" s="21" t="s">
        <v>24</v>
      </c>
      <c r="M527" s="21" t="s">
        <v>1126</v>
      </c>
      <c r="N527" s="19">
        <v>212</v>
      </c>
      <c r="O527" s="19">
        <v>331</v>
      </c>
      <c r="P527" s="19">
        <v>271.5</v>
      </c>
      <c r="Q527" s="19">
        <v>46</v>
      </c>
      <c r="R527" s="22" t="str">
        <f>IF(Cleaned_DS_jobs!$Q527&lt;10,"little_age_company",IF(AND(Cleaned_DS_jobs!$Q527&gt;=10,Cleaned_DS_jobs!$Q527&lt;=20),"average_age_company","Big_age_company"))</f>
        <v>Big_age_company</v>
      </c>
    </row>
    <row r="528" spans="1:18" ht="19.95" customHeight="1" x14ac:dyDescent="0.3">
      <c r="A528" s="13" t="s">
        <v>1127</v>
      </c>
      <c r="B528" s="14" t="s">
        <v>1726</v>
      </c>
      <c r="C528" s="14">
        <v>3.5</v>
      </c>
      <c r="D528" s="15" t="s">
        <v>2234</v>
      </c>
      <c r="E528" s="14" t="s">
        <v>193</v>
      </c>
      <c r="F528" s="16" t="s">
        <v>1770</v>
      </c>
      <c r="G528" s="16" t="s">
        <v>107</v>
      </c>
      <c r="H528" s="14">
        <v>2003</v>
      </c>
      <c r="I528" s="16" t="s">
        <v>21</v>
      </c>
      <c r="J528" s="16" t="s">
        <v>33</v>
      </c>
      <c r="K528" s="16" t="s">
        <v>34</v>
      </c>
      <c r="L528" s="16" t="s">
        <v>41</v>
      </c>
      <c r="M528" s="16">
        <v>-1</v>
      </c>
      <c r="N528" s="14">
        <v>212</v>
      </c>
      <c r="O528" s="14">
        <v>331</v>
      </c>
      <c r="P528" s="14">
        <v>271.5</v>
      </c>
      <c r="Q528" s="14">
        <v>23</v>
      </c>
      <c r="R528" s="17" t="str">
        <f>IF(Cleaned_DS_jobs!$Q528&lt;10,"little_age_company",IF(AND(Cleaned_DS_jobs!$Q528&gt;=10,Cleaned_DS_jobs!$Q528&lt;=20),"average_age_company","Big_age_company"))</f>
        <v>Big_age_company</v>
      </c>
    </row>
    <row r="529" spans="1:18" ht="19.95" customHeight="1" x14ac:dyDescent="0.3">
      <c r="A529" s="18" t="s">
        <v>26</v>
      </c>
      <c r="B529" s="19" t="s">
        <v>1726</v>
      </c>
      <c r="C529" s="19">
        <v>2.7</v>
      </c>
      <c r="D529" s="20" t="s">
        <v>2314</v>
      </c>
      <c r="E529" s="19" t="s">
        <v>19</v>
      </c>
      <c r="F529" s="21" t="s">
        <v>1952</v>
      </c>
      <c r="G529" s="21" t="s">
        <v>20</v>
      </c>
      <c r="H529" s="19">
        <v>1976</v>
      </c>
      <c r="I529" s="21" t="s">
        <v>32</v>
      </c>
      <c r="J529" s="21" t="s">
        <v>1431</v>
      </c>
      <c r="K529" s="21" t="s">
        <v>34</v>
      </c>
      <c r="L529" s="21" t="s">
        <v>35</v>
      </c>
      <c r="M529" s="21">
        <v>-1</v>
      </c>
      <c r="N529" s="19">
        <v>212</v>
      </c>
      <c r="O529" s="19">
        <v>331</v>
      </c>
      <c r="P529" s="19">
        <v>271.5</v>
      </c>
      <c r="Q529" s="19">
        <v>50</v>
      </c>
      <c r="R529" s="22" t="str">
        <f>IF(Cleaned_DS_jobs!$Q529&lt;10,"little_age_company",IF(AND(Cleaned_DS_jobs!$Q529&gt;=10,Cleaned_DS_jobs!$Q529&lt;=20),"average_age_company","Big_age_company"))</f>
        <v>Big_age_company</v>
      </c>
    </row>
    <row r="530" spans="1:18" ht="19.95" customHeight="1" x14ac:dyDescent="0.3">
      <c r="A530" s="13" t="s">
        <v>26</v>
      </c>
      <c r="B530" s="14" t="s">
        <v>1726</v>
      </c>
      <c r="C530" s="14">
        <v>3.5</v>
      </c>
      <c r="D530" s="15" t="s">
        <v>2315</v>
      </c>
      <c r="E530" s="14" t="s">
        <v>111</v>
      </c>
      <c r="F530" s="16" t="s">
        <v>1936</v>
      </c>
      <c r="G530" s="16" t="s">
        <v>52</v>
      </c>
      <c r="H530" s="14">
        <v>2012</v>
      </c>
      <c r="I530" s="16" t="s">
        <v>53</v>
      </c>
      <c r="J530" s="16" t="s">
        <v>40</v>
      </c>
      <c r="K530" s="16" t="s">
        <v>34</v>
      </c>
      <c r="L530" s="16" t="s">
        <v>164</v>
      </c>
      <c r="M530" s="16">
        <v>-1</v>
      </c>
      <c r="N530" s="14">
        <v>212</v>
      </c>
      <c r="O530" s="14">
        <v>331</v>
      </c>
      <c r="P530" s="14">
        <v>271.5</v>
      </c>
      <c r="Q530" s="14">
        <v>14</v>
      </c>
      <c r="R530" s="17" t="str">
        <f>IF(Cleaned_DS_jobs!$Q530&lt;10,"little_age_company",IF(AND(Cleaned_DS_jobs!$Q530&gt;=10,Cleaned_DS_jobs!$Q530&lt;=20),"average_age_company","Big_age_company"))</f>
        <v>average_age_company</v>
      </c>
    </row>
    <row r="531" spans="1:18" ht="19.95" customHeight="1" x14ac:dyDescent="0.3">
      <c r="A531" s="18" t="s">
        <v>1660</v>
      </c>
      <c r="B531" s="19" t="s">
        <v>1727</v>
      </c>
      <c r="C531" s="19">
        <v>4.9000000000000004</v>
      </c>
      <c r="D531" s="20" t="s">
        <v>2050</v>
      </c>
      <c r="E531" s="19" t="s">
        <v>379</v>
      </c>
      <c r="F531" s="21" t="s">
        <v>1752</v>
      </c>
      <c r="G531" s="21" t="s">
        <v>117</v>
      </c>
      <c r="H531" s="19">
        <v>2016</v>
      </c>
      <c r="I531" s="21" t="s">
        <v>53</v>
      </c>
      <c r="J531" s="21" t="s">
        <v>286</v>
      </c>
      <c r="K531" s="21" t="s">
        <v>34</v>
      </c>
      <c r="L531" s="21" t="s">
        <v>24</v>
      </c>
      <c r="M531" s="21">
        <v>-1</v>
      </c>
      <c r="N531" s="19">
        <v>66</v>
      </c>
      <c r="O531" s="19">
        <v>112</v>
      </c>
      <c r="P531" s="19">
        <v>89</v>
      </c>
      <c r="Q531" s="19">
        <v>10</v>
      </c>
      <c r="R531" s="22" t="str">
        <f>IF(Cleaned_DS_jobs!$Q531&lt;10,"little_age_company",IF(AND(Cleaned_DS_jobs!$Q531&gt;=10,Cleaned_DS_jobs!$Q531&lt;=20),"average_age_company","Big_age_company"))</f>
        <v>average_age_company</v>
      </c>
    </row>
    <row r="532" spans="1:18" ht="19.95" customHeight="1" x14ac:dyDescent="0.3">
      <c r="A532" s="13" t="s">
        <v>26</v>
      </c>
      <c r="B532" s="14" t="s">
        <v>1727</v>
      </c>
      <c r="C532" s="14">
        <v>3.6</v>
      </c>
      <c r="D532" s="15" t="s">
        <v>2048</v>
      </c>
      <c r="E532" s="14" t="s">
        <v>111</v>
      </c>
      <c r="F532" s="16" t="s">
        <v>1800</v>
      </c>
      <c r="G532" s="16" t="s">
        <v>52</v>
      </c>
      <c r="H532" s="14">
        <v>2001</v>
      </c>
      <c r="I532" s="16" t="s">
        <v>53</v>
      </c>
      <c r="J532" s="16" t="s">
        <v>92</v>
      </c>
      <c r="K532" s="16" t="s">
        <v>60</v>
      </c>
      <c r="L532" s="16" t="s">
        <v>164</v>
      </c>
      <c r="M532" s="16">
        <v>-1</v>
      </c>
      <c r="N532" s="14">
        <v>66</v>
      </c>
      <c r="O532" s="14">
        <v>112</v>
      </c>
      <c r="P532" s="14">
        <v>89</v>
      </c>
      <c r="Q532" s="14">
        <v>25</v>
      </c>
      <c r="R532" s="17" t="str">
        <f>IF(Cleaned_DS_jobs!$Q532&lt;10,"little_age_company",IF(AND(Cleaned_DS_jobs!$Q532&gt;=10,Cleaned_DS_jobs!$Q532&lt;=20),"average_age_company","Big_age_company"))</f>
        <v>Big_age_company</v>
      </c>
    </row>
    <row r="533" spans="1:18" ht="19.95" customHeight="1" x14ac:dyDescent="0.3">
      <c r="A533" s="18" t="s">
        <v>26</v>
      </c>
      <c r="B533" s="19" t="s">
        <v>1727</v>
      </c>
      <c r="C533" s="19">
        <v>5</v>
      </c>
      <c r="D533" s="20" t="s">
        <v>2316</v>
      </c>
      <c r="E533" s="19" t="s">
        <v>111</v>
      </c>
      <c r="F533" s="21" t="s">
        <v>1930</v>
      </c>
      <c r="G533" s="21" t="s">
        <v>117</v>
      </c>
      <c r="H533" s="19">
        <v>-1</v>
      </c>
      <c r="I533" s="21" t="s">
        <v>53</v>
      </c>
      <c r="J533" s="21" t="s">
        <v>1972</v>
      </c>
      <c r="K533" s="21" t="s">
        <v>1972</v>
      </c>
      <c r="L533" s="21" t="s">
        <v>24</v>
      </c>
      <c r="M533" s="21">
        <v>-1</v>
      </c>
      <c r="N533" s="19">
        <v>66</v>
      </c>
      <c r="O533" s="19">
        <v>112</v>
      </c>
      <c r="P533" s="19">
        <v>89</v>
      </c>
      <c r="Q533" s="19">
        <v>-1</v>
      </c>
      <c r="R533" s="22" t="str">
        <f>IF(Cleaned_DS_jobs!$Q533&lt;10,"little_age_company",IF(AND(Cleaned_DS_jobs!$Q533&gt;=10,Cleaned_DS_jobs!$Q533&lt;=20),"average_age_company","Big_age_company"))</f>
        <v>little_age_company</v>
      </c>
    </row>
    <row r="534" spans="1:18" ht="19.95" customHeight="1" x14ac:dyDescent="0.3">
      <c r="A534" s="13" t="s">
        <v>26</v>
      </c>
      <c r="B534" s="14" t="s">
        <v>1727</v>
      </c>
      <c r="C534" s="14">
        <v>3.1</v>
      </c>
      <c r="D534" s="15" t="s">
        <v>2236</v>
      </c>
      <c r="E534" s="14" t="s">
        <v>511</v>
      </c>
      <c r="F534" s="16" t="s">
        <v>1876</v>
      </c>
      <c r="G534" s="16" t="s">
        <v>117</v>
      </c>
      <c r="H534" s="14">
        <v>2001</v>
      </c>
      <c r="I534" s="16" t="s">
        <v>53</v>
      </c>
      <c r="J534" s="16" t="s">
        <v>286</v>
      </c>
      <c r="K534" s="16" t="s">
        <v>34</v>
      </c>
      <c r="L534" s="16" t="s">
        <v>212</v>
      </c>
      <c r="M534" s="16">
        <v>-1</v>
      </c>
      <c r="N534" s="14">
        <v>66</v>
      </c>
      <c r="O534" s="14">
        <v>112</v>
      </c>
      <c r="P534" s="14">
        <v>89</v>
      </c>
      <c r="Q534" s="14">
        <v>25</v>
      </c>
      <c r="R534" s="17" t="str">
        <f>IF(Cleaned_DS_jobs!$Q534&lt;10,"little_age_company",IF(AND(Cleaned_DS_jobs!$Q534&gt;=10,Cleaned_DS_jobs!$Q534&lt;=20),"average_age_company","Big_age_company"))</f>
        <v>Big_age_company</v>
      </c>
    </row>
    <row r="535" spans="1:18" ht="19.95" customHeight="1" x14ac:dyDescent="0.3">
      <c r="A535" s="18" t="s">
        <v>499</v>
      </c>
      <c r="B535" s="19" t="s">
        <v>1727</v>
      </c>
      <c r="C535" s="19">
        <v>3.9</v>
      </c>
      <c r="D535" s="20" t="s">
        <v>2317</v>
      </c>
      <c r="E535" s="19" t="s">
        <v>143</v>
      </c>
      <c r="F535" s="21" t="s">
        <v>1763</v>
      </c>
      <c r="G535" s="21" t="s">
        <v>46</v>
      </c>
      <c r="H535" s="19">
        <v>2009</v>
      </c>
      <c r="I535" s="21" t="s">
        <v>53</v>
      </c>
      <c r="J535" s="21" t="s">
        <v>123</v>
      </c>
      <c r="K535" s="21" t="s">
        <v>60</v>
      </c>
      <c r="L535" s="21" t="s">
        <v>24</v>
      </c>
      <c r="M535" s="21">
        <v>-1</v>
      </c>
      <c r="N535" s="19">
        <v>66</v>
      </c>
      <c r="O535" s="19">
        <v>112</v>
      </c>
      <c r="P535" s="19">
        <v>89</v>
      </c>
      <c r="Q535" s="19">
        <v>17</v>
      </c>
      <c r="R535" s="22" t="str">
        <f>IF(Cleaned_DS_jobs!$Q535&lt;10,"little_age_company",IF(AND(Cleaned_DS_jobs!$Q535&gt;=10,Cleaned_DS_jobs!$Q535&lt;=20),"average_age_company","Big_age_company"))</f>
        <v>average_age_company</v>
      </c>
    </row>
    <row r="536" spans="1:18" ht="19.95" customHeight="1" x14ac:dyDescent="0.3">
      <c r="A536" s="13" t="s">
        <v>26</v>
      </c>
      <c r="B536" s="14" t="s">
        <v>1727</v>
      </c>
      <c r="C536" s="14">
        <v>3.4</v>
      </c>
      <c r="D536" s="15" t="s">
        <v>2318</v>
      </c>
      <c r="E536" s="14" t="s">
        <v>1441</v>
      </c>
      <c r="F536" s="16" t="s">
        <v>1766</v>
      </c>
      <c r="G536" s="16" t="s">
        <v>52</v>
      </c>
      <c r="H536" s="14">
        <v>1986</v>
      </c>
      <c r="I536" s="16" t="s">
        <v>53</v>
      </c>
      <c r="J536" s="16" t="s">
        <v>92</v>
      </c>
      <c r="K536" s="16" t="s">
        <v>60</v>
      </c>
      <c r="L536" s="16" t="s">
        <v>164</v>
      </c>
      <c r="M536" s="16">
        <v>-1</v>
      </c>
      <c r="N536" s="14">
        <v>66</v>
      </c>
      <c r="O536" s="14">
        <v>112</v>
      </c>
      <c r="P536" s="14">
        <v>89</v>
      </c>
      <c r="Q536" s="14">
        <v>40</v>
      </c>
      <c r="R536" s="17" t="str">
        <f>IF(Cleaned_DS_jobs!$Q536&lt;10,"little_age_company",IF(AND(Cleaned_DS_jobs!$Q536&gt;=10,Cleaned_DS_jobs!$Q536&lt;=20),"average_age_company","Big_age_company"))</f>
        <v>Big_age_company</v>
      </c>
    </row>
    <row r="537" spans="1:18" ht="19.95" customHeight="1" x14ac:dyDescent="0.3">
      <c r="A537" s="18" t="s">
        <v>1442</v>
      </c>
      <c r="B537" s="19" t="s">
        <v>1727</v>
      </c>
      <c r="C537" s="19">
        <v>4.0999999999999996</v>
      </c>
      <c r="D537" s="20" t="s">
        <v>2319</v>
      </c>
      <c r="E537" s="19" t="s">
        <v>258</v>
      </c>
      <c r="F537" s="21" t="s">
        <v>1953</v>
      </c>
      <c r="G537" s="21" t="s">
        <v>66</v>
      </c>
      <c r="H537" s="19">
        <v>1976</v>
      </c>
      <c r="I537" s="21" t="s">
        <v>32</v>
      </c>
      <c r="J537" s="21" t="s">
        <v>59</v>
      </c>
      <c r="K537" s="21" t="s">
        <v>60</v>
      </c>
      <c r="L537" s="21" t="s">
        <v>68</v>
      </c>
      <c r="M537" s="21" t="s">
        <v>1445</v>
      </c>
      <c r="N537" s="19">
        <v>66</v>
      </c>
      <c r="O537" s="19">
        <v>112</v>
      </c>
      <c r="P537" s="19">
        <v>89</v>
      </c>
      <c r="Q537" s="19">
        <v>50</v>
      </c>
      <c r="R537" s="22" t="str">
        <f>IF(Cleaned_DS_jobs!$Q537&lt;10,"little_age_company",IF(AND(Cleaned_DS_jobs!$Q537&gt;=10,Cleaned_DS_jobs!$Q537&lt;=20),"average_age_company","Big_age_company"))</f>
        <v>Big_age_company</v>
      </c>
    </row>
    <row r="538" spans="1:18" ht="19.95" customHeight="1" x14ac:dyDescent="0.3">
      <c r="A538" s="13" t="s">
        <v>26</v>
      </c>
      <c r="B538" s="14" t="s">
        <v>1727</v>
      </c>
      <c r="C538" s="14">
        <v>4.0999999999999996</v>
      </c>
      <c r="D538" s="15" t="s">
        <v>2320</v>
      </c>
      <c r="E538" s="14" t="s">
        <v>610</v>
      </c>
      <c r="F538" s="16" t="s">
        <v>1954</v>
      </c>
      <c r="G538" s="16" t="s">
        <v>66</v>
      </c>
      <c r="H538" s="14">
        <v>1966</v>
      </c>
      <c r="I538" s="16" t="s">
        <v>32</v>
      </c>
      <c r="J538" s="16" t="s">
        <v>286</v>
      </c>
      <c r="K538" s="16" t="s">
        <v>34</v>
      </c>
      <c r="L538" s="16" t="s">
        <v>35</v>
      </c>
      <c r="M538" s="16">
        <v>-1</v>
      </c>
      <c r="N538" s="14">
        <v>66</v>
      </c>
      <c r="O538" s="14">
        <v>112</v>
      </c>
      <c r="P538" s="14">
        <v>89</v>
      </c>
      <c r="Q538" s="14">
        <v>60</v>
      </c>
      <c r="R538" s="17" t="str">
        <f>IF(Cleaned_DS_jobs!$Q538&lt;10,"little_age_company",IF(AND(Cleaned_DS_jobs!$Q538&gt;=10,Cleaned_DS_jobs!$Q538&lt;=20),"average_age_company","Big_age_company"))</f>
        <v>Big_age_company</v>
      </c>
    </row>
    <row r="539" spans="1:18" ht="19.95" customHeight="1" x14ac:dyDescent="0.3">
      <c r="A539" s="18" t="s">
        <v>1136</v>
      </c>
      <c r="B539" s="19" t="s">
        <v>1727</v>
      </c>
      <c r="C539" s="19">
        <v>3.5</v>
      </c>
      <c r="D539" s="20" t="s">
        <v>2237</v>
      </c>
      <c r="E539" s="19" t="s">
        <v>420</v>
      </c>
      <c r="F539" s="21" t="s">
        <v>1807</v>
      </c>
      <c r="G539" s="21" t="s">
        <v>107</v>
      </c>
      <c r="H539" s="19">
        <v>2011</v>
      </c>
      <c r="I539" s="21" t="s">
        <v>53</v>
      </c>
      <c r="J539" s="21" t="s">
        <v>1139</v>
      </c>
      <c r="K539" s="21" t="s">
        <v>968</v>
      </c>
      <c r="L539" s="21" t="s">
        <v>24</v>
      </c>
      <c r="M539" s="21">
        <v>-1</v>
      </c>
      <c r="N539" s="19">
        <v>66</v>
      </c>
      <c r="O539" s="19">
        <v>112</v>
      </c>
      <c r="P539" s="19">
        <v>89</v>
      </c>
      <c r="Q539" s="19">
        <v>15</v>
      </c>
      <c r="R539" s="22" t="str">
        <f>IF(Cleaned_DS_jobs!$Q539&lt;10,"little_age_company",IF(AND(Cleaned_DS_jobs!$Q539&gt;=10,Cleaned_DS_jobs!$Q539&lt;=20),"average_age_company","Big_age_company"))</f>
        <v>average_age_company</v>
      </c>
    </row>
    <row r="540" spans="1:18" ht="19.95" customHeight="1" x14ac:dyDescent="0.3">
      <c r="A540" s="13" t="s">
        <v>765</v>
      </c>
      <c r="B540" s="14" t="s">
        <v>1727</v>
      </c>
      <c r="C540" s="14">
        <v>4.3</v>
      </c>
      <c r="D540" s="15" t="s">
        <v>2140</v>
      </c>
      <c r="E540" s="14" t="s">
        <v>722</v>
      </c>
      <c r="F540" s="16" t="s">
        <v>1806</v>
      </c>
      <c r="G540" s="16" t="s">
        <v>46</v>
      </c>
      <c r="H540" s="14">
        <v>2010</v>
      </c>
      <c r="I540" s="16" t="s">
        <v>53</v>
      </c>
      <c r="J540" s="16" t="s">
        <v>92</v>
      </c>
      <c r="K540" s="16" t="s">
        <v>60</v>
      </c>
      <c r="L540" s="16" t="s">
        <v>41</v>
      </c>
      <c r="M540" s="16" t="s">
        <v>768</v>
      </c>
      <c r="N540" s="14">
        <v>66</v>
      </c>
      <c r="O540" s="14">
        <v>112</v>
      </c>
      <c r="P540" s="14">
        <v>89</v>
      </c>
      <c r="Q540" s="14">
        <v>16</v>
      </c>
      <c r="R540" s="17" t="str">
        <f>IF(Cleaned_DS_jobs!$Q540&lt;10,"little_age_company",IF(AND(Cleaned_DS_jobs!$Q540&gt;=10,Cleaned_DS_jobs!$Q540&lt;=20),"average_age_company","Big_age_company"))</f>
        <v>average_age_company</v>
      </c>
    </row>
    <row r="541" spans="1:18" ht="19.95" customHeight="1" x14ac:dyDescent="0.3">
      <c r="A541" s="18" t="s">
        <v>1449</v>
      </c>
      <c r="B541" s="19" t="s">
        <v>1727</v>
      </c>
      <c r="C541" s="19">
        <v>4.4000000000000004</v>
      </c>
      <c r="D541" s="20" t="s">
        <v>2321</v>
      </c>
      <c r="E541" s="19" t="s">
        <v>83</v>
      </c>
      <c r="F541" s="21" t="s">
        <v>1752</v>
      </c>
      <c r="G541" s="21" t="s">
        <v>107</v>
      </c>
      <c r="H541" s="19">
        <v>2012</v>
      </c>
      <c r="I541" s="21" t="s">
        <v>53</v>
      </c>
      <c r="J541" s="21" t="s">
        <v>520</v>
      </c>
      <c r="K541" s="21" t="s">
        <v>170</v>
      </c>
      <c r="L541" s="21" t="s">
        <v>41</v>
      </c>
      <c r="M541" s="21">
        <v>-1</v>
      </c>
      <c r="N541" s="19">
        <v>66</v>
      </c>
      <c r="O541" s="19">
        <v>112</v>
      </c>
      <c r="P541" s="19">
        <v>89</v>
      </c>
      <c r="Q541" s="19">
        <v>14</v>
      </c>
      <c r="R541" s="22" t="str">
        <f>IF(Cleaned_DS_jobs!$Q541&lt;10,"little_age_company",IF(AND(Cleaned_DS_jobs!$Q541&gt;=10,Cleaned_DS_jobs!$Q541&lt;=20),"average_age_company","Big_age_company"))</f>
        <v>average_age_company</v>
      </c>
    </row>
    <row r="542" spans="1:18" ht="19.95" customHeight="1" x14ac:dyDescent="0.3">
      <c r="A542" s="13" t="s">
        <v>26</v>
      </c>
      <c r="B542" s="14" t="s">
        <v>1727</v>
      </c>
      <c r="C542" s="14">
        <v>3.8</v>
      </c>
      <c r="D542" s="15" t="s">
        <v>2238</v>
      </c>
      <c r="E542" s="14" t="s">
        <v>1114</v>
      </c>
      <c r="F542" s="16" t="s">
        <v>1917</v>
      </c>
      <c r="G542" s="16" t="s">
        <v>20</v>
      </c>
      <c r="H542" s="14">
        <v>1999</v>
      </c>
      <c r="I542" s="16" t="s">
        <v>53</v>
      </c>
      <c r="J542" s="16" t="s">
        <v>92</v>
      </c>
      <c r="K542" s="16" t="s">
        <v>60</v>
      </c>
      <c r="L542" s="16" t="s">
        <v>194</v>
      </c>
      <c r="M542" s="16">
        <v>-1</v>
      </c>
      <c r="N542" s="14">
        <v>66</v>
      </c>
      <c r="O542" s="14">
        <v>112</v>
      </c>
      <c r="P542" s="14">
        <v>89</v>
      </c>
      <c r="Q542" s="14">
        <v>27</v>
      </c>
      <c r="R542" s="17" t="str">
        <f>IF(Cleaned_DS_jobs!$Q542&lt;10,"little_age_company",IF(AND(Cleaned_DS_jobs!$Q542&gt;=10,Cleaned_DS_jobs!$Q542&lt;=20),"average_age_company","Big_age_company"))</f>
        <v>Big_age_company</v>
      </c>
    </row>
    <row r="543" spans="1:18" ht="19.95" customHeight="1" x14ac:dyDescent="0.3">
      <c r="A543" s="18" t="s">
        <v>26</v>
      </c>
      <c r="B543" s="19" t="s">
        <v>1727</v>
      </c>
      <c r="C543" s="19">
        <v>3.7</v>
      </c>
      <c r="D543" s="20" t="s">
        <v>2239</v>
      </c>
      <c r="E543" s="19" t="s">
        <v>178</v>
      </c>
      <c r="F543" s="21" t="s">
        <v>1904</v>
      </c>
      <c r="G543" s="21" t="s">
        <v>31</v>
      </c>
      <c r="H543" s="19">
        <v>1908</v>
      </c>
      <c r="I543" s="21" t="s">
        <v>301</v>
      </c>
      <c r="J543" s="21" t="s">
        <v>99</v>
      </c>
      <c r="K543" s="21" t="s">
        <v>100</v>
      </c>
      <c r="L543" s="21" t="s">
        <v>24</v>
      </c>
      <c r="M543" s="21" t="s">
        <v>1145</v>
      </c>
      <c r="N543" s="19">
        <v>66</v>
      </c>
      <c r="O543" s="19">
        <v>112</v>
      </c>
      <c r="P543" s="19">
        <v>89</v>
      </c>
      <c r="Q543" s="19">
        <v>118</v>
      </c>
      <c r="R543" s="22" t="str">
        <f>IF(Cleaned_DS_jobs!$Q543&lt;10,"little_age_company",IF(AND(Cleaned_DS_jobs!$Q543&gt;=10,Cleaned_DS_jobs!$Q543&lt;=20),"average_age_company","Big_age_company"))</f>
        <v>Big_age_company</v>
      </c>
    </row>
    <row r="544" spans="1:18" ht="19.95" customHeight="1" x14ac:dyDescent="0.3">
      <c r="A544" s="13" t="s">
        <v>1697</v>
      </c>
      <c r="B544" s="14" t="s">
        <v>1727</v>
      </c>
      <c r="C544" s="14">
        <v>3.9</v>
      </c>
      <c r="D544" s="15" t="s">
        <v>2139</v>
      </c>
      <c r="E544" s="14" t="s">
        <v>761</v>
      </c>
      <c r="F544" s="16" t="s">
        <v>1856</v>
      </c>
      <c r="G544" s="16" t="s">
        <v>20</v>
      </c>
      <c r="H544" s="14">
        <v>1947</v>
      </c>
      <c r="I544" s="16" t="s">
        <v>21</v>
      </c>
      <c r="J544" s="16" t="s">
        <v>33</v>
      </c>
      <c r="K544" s="16" t="s">
        <v>34</v>
      </c>
      <c r="L544" s="16" t="s">
        <v>101</v>
      </c>
      <c r="M544" s="16" t="s">
        <v>762</v>
      </c>
      <c r="N544" s="14">
        <v>66</v>
      </c>
      <c r="O544" s="14">
        <v>112</v>
      </c>
      <c r="P544" s="14">
        <v>89</v>
      </c>
      <c r="Q544" s="14">
        <v>79</v>
      </c>
      <c r="R544" s="17" t="str">
        <f>IF(Cleaned_DS_jobs!$Q544&lt;10,"little_age_company",IF(AND(Cleaned_DS_jobs!$Q544&gt;=10,Cleaned_DS_jobs!$Q544&lt;=20),"average_age_company","Big_age_company"))</f>
        <v>Big_age_company</v>
      </c>
    </row>
    <row r="545" spans="1:18" ht="19.95" customHeight="1" x14ac:dyDescent="0.3">
      <c r="A545" s="18" t="s">
        <v>26</v>
      </c>
      <c r="B545" s="19" t="s">
        <v>1727</v>
      </c>
      <c r="C545" s="19">
        <v>3.9</v>
      </c>
      <c r="D545" s="20" t="s">
        <v>2322</v>
      </c>
      <c r="E545" s="19" t="s">
        <v>1456</v>
      </c>
      <c r="F545" s="21" t="s">
        <v>1806</v>
      </c>
      <c r="G545" s="21" t="s">
        <v>46</v>
      </c>
      <c r="H545" s="19">
        <v>2006</v>
      </c>
      <c r="I545" s="21" t="s">
        <v>53</v>
      </c>
      <c r="J545" s="21" t="s">
        <v>92</v>
      </c>
      <c r="K545" s="21" t="s">
        <v>60</v>
      </c>
      <c r="L545" s="21" t="s">
        <v>164</v>
      </c>
      <c r="M545" s="21">
        <v>-1</v>
      </c>
      <c r="N545" s="19">
        <v>66</v>
      </c>
      <c r="O545" s="19">
        <v>112</v>
      </c>
      <c r="P545" s="19">
        <v>89</v>
      </c>
      <c r="Q545" s="19">
        <v>20</v>
      </c>
      <c r="R545" s="22" t="str">
        <f>IF(Cleaned_DS_jobs!$Q545&lt;10,"little_age_company",IF(AND(Cleaned_DS_jobs!$Q545&gt;=10,Cleaned_DS_jobs!$Q545&lt;=20),"average_age_company","Big_age_company"))</f>
        <v>average_age_company</v>
      </c>
    </row>
    <row r="546" spans="1:18" ht="19.95" customHeight="1" x14ac:dyDescent="0.3">
      <c r="A546" s="13" t="s">
        <v>773</v>
      </c>
      <c r="B546" s="14" t="s">
        <v>1727</v>
      </c>
      <c r="C546" s="14">
        <v>3.7</v>
      </c>
      <c r="D546" s="15" t="s">
        <v>2119</v>
      </c>
      <c r="E546" s="14" t="s">
        <v>38</v>
      </c>
      <c r="F546" s="16" t="s">
        <v>1844</v>
      </c>
      <c r="G546" s="16" t="s">
        <v>31</v>
      </c>
      <c r="H546" s="14">
        <v>1851</v>
      </c>
      <c r="I546" s="16" t="s">
        <v>53</v>
      </c>
      <c r="J546" s="16" t="s">
        <v>22</v>
      </c>
      <c r="K546" s="16" t="s">
        <v>23</v>
      </c>
      <c r="L546" s="16" t="s">
        <v>68</v>
      </c>
      <c r="M546" s="16">
        <v>-1</v>
      </c>
      <c r="N546" s="14">
        <v>66</v>
      </c>
      <c r="O546" s="14">
        <v>112</v>
      </c>
      <c r="P546" s="14">
        <v>89</v>
      </c>
      <c r="Q546" s="14">
        <v>175</v>
      </c>
      <c r="R546" s="17" t="str">
        <f>IF(Cleaned_DS_jobs!$Q546&lt;10,"little_age_company",IF(AND(Cleaned_DS_jobs!$Q546&gt;=10,Cleaned_DS_jobs!$Q546&lt;=20),"average_age_company","Big_age_company"))</f>
        <v>Big_age_company</v>
      </c>
    </row>
    <row r="547" spans="1:18" ht="19.95" customHeight="1" x14ac:dyDescent="0.3">
      <c r="A547" s="18" t="s">
        <v>26</v>
      </c>
      <c r="B547" s="19" t="s">
        <v>1727</v>
      </c>
      <c r="C547" s="19">
        <v>2.9</v>
      </c>
      <c r="D547" s="20" t="s">
        <v>2323</v>
      </c>
      <c r="E547" s="19" t="s">
        <v>111</v>
      </c>
      <c r="F547" s="21" t="s">
        <v>1806</v>
      </c>
      <c r="G547" s="21" t="s">
        <v>46</v>
      </c>
      <c r="H547" s="19">
        <v>-1</v>
      </c>
      <c r="I547" s="21" t="s">
        <v>1149</v>
      </c>
      <c r="J547" s="21" t="s">
        <v>92</v>
      </c>
      <c r="K547" s="21" t="s">
        <v>60</v>
      </c>
      <c r="L547" s="21" t="s">
        <v>164</v>
      </c>
      <c r="M547" s="21">
        <v>-1</v>
      </c>
      <c r="N547" s="19">
        <v>66</v>
      </c>
      <c r="O547" s="19">
        <v>112</v>
      </c>
      <c r="P547" s="19">
        <v>89</v>
      </c>
      <c r="Q547" s="19">
        <v>-1</v>
      </c>
      <c r="R547" s="22" t="str">
        <f>IF(Cleaned_DS_jobs!$Q547&lt;10,"little_age_company",IF(AND(Cleaned_DS_jobs!$Q547&gt;=10,Cleaned_DS_jobs!$Q547&lt;=20),"average_age_company","Big_age_company"))</f>
        <v>little_age_company</v>
      </c>
    </row>
    <row r="548" spans="1:18" ht="19.95" customHeight="1" x14ac:dyDescent="0.3">
      <c r="A548" s="13" t="s">
        <v>26</v>
      </c>
      <c r="B548" s="14" t="s">
        <v>1727</v>
      </c>
      <c r="C548" s="14">
        <v>4.5999999999999996</v>
      </c>
      <c r="D548" s="15" t="s">
        <v>2324</v>
      </c>
      <c r="E548" s="14" t="s">
        <v>19</v>
      </c>
      <c r="F548" s="16" t="s">
        <v>1955</v>
      </c>
      <c r="G548" s="16" t="s">
        <v>52</v>
      </c>
      <c r="H548" s="14">
        <v>2012</v>
      </c>
      <c r="I548" s="16" t="s">
        <v>53</v>
      </c>
      <c r="J548" s="16" t="s">
        <v>92</v>
      </c>
      <c r="K548" s="16" t="s">
        <v>60</v>
      </c>
      <c r="L548" s="16" t="s">
        <v>24</v>
      </c>
      <c r="M548" s="16">
        <v>-1</v>
      </c>
      <c r="N548" s="14">
        <v>66</v>
      </c>
      <c r="O548" s="14">
        <v>112</v>
      </c>
      <c r="P548" s="14">
        <v>89</v>
      </c>
      <c r="Q548" s="14">
        <v>14</v>
      </c>
      <c r="R548" s="17" t="str">
        <f>IF(Cleaned_DS_jobs!$Q548&lt;10,"little_age_company",IF(AND(Cleaned_DS_jobs!$Q548&gt;=10,Cleaned_DS_jobs!$Q548&lt;=20),"average_age_company","Big_age_company"))</f>
        <v>average_age_company</v>
      </c>
    </row>
    <row r="549" spans="1:18" ht="19.95" customHeight="1" x14ac:dyDescent="0.3">
      <c r="A549" s="18" t="s">
        <v>26</v>
      </c>
      <c r="B549" s="19" t="s">
        <v>1727</v>
      </c>
      <c r="C549" s="19">
        <v>3.4</v>
      </c>
      <c r="D549" s="20" t="s">
        <v>2325</v>
      </c>
      <c r="E549" s="19" t="s">
        <v>178</v>
      </c>
      <c r="F549" s="21" t="s">
        <v>1850</v>
      </c>
      <c r="G549" s="21" t="s">
        <v>107</v>
      </c>
      <c r="H549" s="19">
        <v>1997</v>
      </c>
      <c r="I549" s="21" t="s">
        <v>53</v>
      </c>
      <c r="J549" s="21" t="s">
        <v>84</v>
      </c>
      <c r="K549" s="21" t="s">
        <v>60</v>
      </c>
      <c r="L549" s="21" t="s">
        <v>160</v>
      </c>
      <c r="M549" s="21">
        <v>-1</v>
      </c>
      <c r="N549" s="19">
        <v>66</v>
      </c>
      <c r="O549" s="19">
        <v>112</v>
      </c>
      <c r="P549" s="19">
        <v>89</v>
      </c>
      <c r="Q549" s="19">
        <v>29</v>
      </c>
      <c r="R549" s="22" t="str">
        <f>IF(Cleaned_DS_jobs!$Q549&lt;10,"little_age_company",IF(AND(Cleaned_DS_jobs!$Q549&gt;=10,Cleaned_DS_jobs!$Q549&lt;=20),"average_age_company","Big_age_company"))</f>
        <v>Big_age_company</v>
      </c>
    </row>
    <row r="550" spans="1:18" ht="19.95" customHeight="1" x14ac:dyDescent="0.3">
      <c r="A550" s="13" t="s">
        <v>1689</v>
      </c>
      <c r="B550" s="14" t="s">
        <v>1727</v>
      </c>
      <c r="C550" s="14">
        <v>4</v>
      </c>
      <c r="D550" s="15" t="s">
        <v>2241</v>
      </c>
      <c r="E550" s="14" t="s">
        <v>357</v>
      </c>
      <c r="F550" s="16" t="s">
        <v>1797</v>
      </c>
      <c r="G550" s="16" t="s">
        <v>66</v>
      </c>
      <c r="H550" s="14">
        <v>1853</v>
      </c>
      <c r="I550" s="16" t="s">
        <v>32</v>
      </c>
      <c r="J550" s="16" t="s">
        <v>22</v>
      </c>
      <c r="K550" s="16" t="s">
        <v>23</v>
      </c>
      <c r="L550" s="16" t="s">
        <v>68</v>
      </c>
      <c r="M550" s="16">
        <v>-1</v>
      </c>
      <c r="N550" s="14">
        <v>66</v>
      </c>
      <c r="O550" s="14">
        <v>112</v>
      </c>
      <c r="P550" s="14">
        <v>89</v>
      </c>
      <c r="Q550" s="14">
        <v>173</v>
      </c>
      <c r="R550" s="17" t="str">
        <f>IF(Cleaned_DS_jobs!$Q550&lt;10,"little_age_company",IF(AND(Cleaned_DS_jobs!$Q550&gt;=10,Cleaned_DS_jobs!$Q550&lt;=20),"average_age_company","Big_age_company"))</f>
        <v>Big_age_company</v>
      </c>
    </row>
    <row r="551" spans="1:18" ht="19.95" customHeight="1" x14ac:dyDescent="0.3">
      <c r="A551" s="18" t="s">
        <v>359</v>
      </c>
      <c r="B551" s="19" t="s">
        <v>1728</v>
      </c>
      <c r="C551" s="19">
        <v>3.3</v>
      </c>
      <c r="D551" s="20" t="s">
        <v>2046</v>
      </c>
      <c r="E551" s="19" t="s">
        <v>362</v>
      </c>
      <c r="F551" s="21" t="s">
        <v>1798</v>
      </c>
      <c r="G551" s="21" t="s">
        <v>107</v>
      </c>
      <c r="H551" s="19">
        <v>2003</v>
      </c>
      <c r="I551" s="21" t="s">
        <v>32</v>
      </c>
      <c r="J551" s="21" t="s">
        <v>67</v>
      </c>
      <c r="K551" s="21" t="s">
        <v>67</v>
      </c>
      <c r="L551" s="21" t="s">
        <v>41</v>
      </c>
      <c r="M551" s="21">
        <v>-1</v>
      </c>
      <c r="N551" s="19">
        <v>128</v>
      </c>
      <c r="O551" s="19">
        <v>201</v>
      </c>
      <c r="P551" s="19">
        <v>164.5</v>
      </c>
      <c r="Q551" s="19">
        <v>23</v>
      </c>
      <c r="R551" s="22" t="str">
        <f>IF(Cleaned_DS_jobs!$Q551&lt;10,"little_age_company",IF(AND(Cleaned_DS_jobs!$Q551&gt;=10,Cleaned_DS_jobs!$Q551&lt;=20),"average_age_company","Big_age_company"))</f>
        <v>Big_age_company</v>
      </c>
    </row>
    <row r="552" spans="1:18" ht="19.95" customHeight="1" x14ac:dyDescent="0.3">
      <c r="A552" s="13" t="s">
        <v>26</v>
      </c>
      <c r="B552" s="14" t="s">
        <v>1728</v>
      </c>
      <c r="C552" s="14">
        <v>4.3</v>
      </c>
      <c r="D552" s="15" t="s">
        <v>2051</v>
      </c>
      <c r="E552" s="14" t="s">
        <v>382</v>
      </c>
      <c r="F552" s="16" t="s">
        <v>1802</v>
      </c>
      <c r="G552" s="16" t="s">
        <v>52</v>
      </c>
      <c r="H552" s="14">
        <v>1999</v>
      </c>
      <c r="I552" s="16" t="s">
        <v>53</v>
      </c>
      <c r="J552" s="16" t="s">
        <v>59</v>
      </c>
      <c r="K552" s="16" t="s">
        <v>60</v>
      </c>
      <c r="L552" s="16" t="s">
        <v>164</v>
      </c>
      <c r="M552" s="16">
        <v>-1</v>
      </c>
      <c r="N552" s="14">
        <v>128</v>
      </c>
      <c r="O552" s="14">
        <v>201</v>
      </c>
      <c r="P552" s="14">
        <v>164.5</v>
      </c>
      <c r="Q552" s="14">
        <v>27</v>
      </c>
      <c r="R552" s="17" t="str">
        <f>IF(Cleaned_DS_jobs!$Q552&lt;10,"little_age_company",IF(AND(Cleaned_DS_jobs!$Q552&gt;=10,Cleaned_DS_jobs!$Q552&lt;=20),"average_age_company","Big_age_company"))</f>
        <v>Big_age_company</v>
      </c>
    </row>
    <row r="553" spans="1:18" ht="19.95" customHeight="1" x14ac:dyDescent="0.3">
      <c r="A553" s="18" t="s">
        <v>240</v>
      </c>
      <c r="B553" s="19" t="s">
        <v>1728</v>
      </c>
      <c r="C553" s="19">
        <v>3.9</v>
      </c>
      <c r="D553" s="20" t="s">
        <v>2317</v>
      </c>
      <c r="E553" s="19" t="s">
        <v>143</v>
      </c>
      <c r="F553" s="21" t="s">
        <v>1763</v>
      </c>
      <c r="G553" s="21" t="s">
        <v>46</v>
      </c>
      <c r="H553" s="19">
        <v>2009</v>
      </c>
      <c r="I553" s="21" t="s">
        <v>53</v>
      </c>
      <c r="J553" s="21" t="s">
        <v>123</v>
      </c>
      <c r="K553" s="21" t="s">
        <v>60</v>
      </c>
      <c r="L553" s="21" t="s">
        <v>24</v>
      </c>
      <c r="M553" s="21">
        <v>-1</v>
      </c>
      <c r="N553" s="19">
        <v>128</v>
      </c>
      <c r="O553" s="19">
        <v>201</v>
      </c>
      <c r="P553" s="19">
        <v>164.5</v>
      </c>
      <c r="Q553" s="19">
        <v>17</v>
      </c>
      <c r="R553" s="22" t="str">
        <f>IF(Cleaned_DS_jobs!$Q553&lt;10,"little_age_company",IF(AND(Cleaned_DS_jobs!$Q553&gt;=10,Cleaned_DS_jobs!$Q553&lt;=20),"average_age_company","Big_age_company"))</f>
        <v>average_age_company</v>
      </c>
    </row>
    <row r="554" spans="1:18" ht="19.95" customHeight="1" x14ac:dyDescent="0.3">
      <c r="A554" s="13" t="s">
        <v>1153</v>
      </c>
      <c r="B554" s="14" t="s">
        <v>1728</v>
      </c>
      <c r="C554" s="14">
        <v>3.6</v>
      </c>
      <c r="D554" s="15" t="s">
        <v>2242</v>
      </c>
      <c r="E554" s="14" t="s">
        <v>143</v>
      </c>
      <c r="F554" s="16" t="s">
        <v>1763</v>
      </c>
      <c r="G554" s="16" t="s">
        <v>20</v>
      </c>
      <c r="H554" s="14">
        <v>2011</v>
      </c>
      <c r="I554" s="16" t="s">
        <v>301</v>
      </c>
      <c r="J554" s="16" t="s">
        <v>123</v>
      </c>
      <c r="K554" s="16" t="s">
        <v>60</v>
      </c>
      <c r="L554" s="16" t="s">
        <v>24</v>
      </c>
      <c r="M554" s="16">
        <v>-1</v>
      </c>
      <c r="N554" s="14">
        <v>128</v>
      </c>
      <c r="O554" s="14">
        <v>201</v>
      </c>
      <c r="P554" s="14">
        <v>164.5</v>
      </c>
      <c r="Q554" s="14">
        <v>15</v>
      </c>
      <c r="R554" s="17" t="str">
        <f>IF(Cleaned_DS_jobs!$Q554&lt;10,"little_age_company",IF(AND(Cleaned_DS_jobs!$Q554&gt;=10,Cleaned_DS_jobs!$Q554&lt;=20),"average_age_company","Big_age_company"))</f>
        <v>average_age_company</v>
      </c>
    </row>
    <row r="555" spans="1:18" ht="19.95" customHeight="1" x14ac:dyDescent="0.3">
      <c r="A555" s="18" t="s">
        <v>1466</v>
      </c>
      <c r="B555" s="19" t="s">
        <v>1728</v>
      </c>
      <c r="C555" s="19">
        <v>4.7</v>
      </c>
      <c r="D555" s="20" t="s">
        <v>2326</v>
      </c>
      <c r="E555" s="19" t="s">
        <v>1469</v>
      </c>
      <c r="F555" s="21" t="s">
        <v>1763</v>
      </c>
      <c r="G555" s="21" t="s">
        <v>20</v>
      </c>
      <c r="H555" s="19">
        <v>2008</v>
      </c>
      <c r="I555" s="21" t="s">
        <v>32</v>
      </c>
      <c r="J555" s="21" t="s">
        <v>59</v>
      </c>
      <c r="K555" s="21" t="s">
        <v>60</v>
      </c>
      <c r="L555" s="21" t="s">
        <v>41</v>
      </c>
      <c r="M555" s="21" t="s">
        <v>1470</v>
      </c>
      <c r="N555" s="19">
        <v>128</v>
      </c>
      <c r="O555" s="19">
        <v>201</v>
      </c>
      <c r="P555" s="19">
        <v>164.5</v>
      </c>
      <c r="Q555" s="19">
        <v>18</v>
      </c>
      <c r="R555" s="22" t="str">
        <f>IF(Cleaned_DS_jobs!$Q555&lt;10,"little_age_company",IF(AND(Cleaned_DS_jobs!$Q555&gt;=10,Cleaned_DS_jobs!$Q555&lt;=20),"average_age_company","Big_age_company"))</f>
        <v>average_age_company</v>
      </c>
    </row>
    <row r="556" spans="1:18" ht="19.95" customHeight="1" x14ac:dyDescent="0.3">
      <c r="A556" s="13" t="s">
        <v>1690</v>
      </c>
      <c r="B556" s="14" t="s">
        <v>1728</v>
      </c>
      <c r="C556" s="14">
        <v>3.6</v>
      </c>
      <c r="D556" s="15" t="s">
        <v>2243</v>
      </c>
      <c r="E556" s="14" t="s">
        <v>64</v>
      </c>
      <c r="F556" s="16" t="s">
        <v>1779</v>
      </c>
      <c r="G556" s="16" t="s">
        <v>31</v>
      </c>
      <c r="H556" s="14">
        <v>1978</v>
      </c>
      <c r="I556" s="16" t="s">
        <v>32</v>
      </c>
      <c r="J556" s="16" t="s">
        <v>67</v>
      </c>
      <c r="K556" s="16" t="s">
        <v>67</v>
      </c>
      <c r="L556" s="16" t="s">
        <v>68</v>
      </c>
      <c r="M556" s="16">
        <v>-1</v>
      </c>
      <c r="N556" s="14">
        <v>128</v>
      </c>
      <c r="O556" s="14">
        <v>201</v>
      </c>
      <c r="P556" s="14">
        <v>164.5</v>
      </c>
      <c r="Q556" s="14">
        <v>48</v>
      </c>
      <c r="R556" s="17" t="str">
        <f>IF(Cleaned_DS_jobs!$Q556&lt;10,"little_age_company",IF(AND(Cleaned_DS_jobs!$Q556&gt;=10,Cleaned_DS_jobs!$Q556&lt;=20),"average_age_company","Big_age_company"))</f>
        <v>Big_age_company</v>
      </c>
    </row>
    <row r="557" spans="1:18" ht="19.95" customHeight="1" x14ac:dyDescent="0.3">
      <c r="A557" s="18" t="s">
        <v>26</v>
      </c>
      <c r="B557" s="19" t="s">
        <v>1728</v>
      </c>
      <c r="C557" s="19">
        <v>-1</v>
      </c>
      <c r="D557" s="20" t="s">
        <v>1736</v>
      </c>
      <c r="E557" s="19" t="s">
        <v>143</v>
      </c>
      <c r="F557" s="21">
        <v>-1</v>
      </c>
      <c r="G557" s="21" t="s">
        <v>1972</v>
      </c>
      <c r="H557" s="19">
        <v>-1</v>
      </c>
      <c r="I557" s="21" t="s">
        <v>1972</v>
      </c>
      <c r="J557" s="21" t="s">
        <v>1972</v>
      </c>
      <c r="K557" s="21" t="s">
        <v>1972</v>
      </c>
      <c r="L557" s="21" t="s">
        <v>1972</v>
      </c>
      <c r="M557" s="21">
        <v>-1</v>
      </c>
      <c r="N557" s="19">
        <v>128</v>
      </c>
      <c r="O557" s="19">
        <v>201</v>
      </c>
      <c r="P557" s="19">
        <v>164.5</v>
      </c>
      <c r="Q557" s="19">
        <v>-1</v>
      </c>
      <c r="R557" s="22" t="str">
        <f>IF(Cleaned_DS_jobs!$Q557&lt;10,"little_age_company",IF(AND(Cleaned_DS_jobs!$Q557&gt;=10,Cleaned_DS_jobs!$Q557&lt;=20),"average_age_company","Big_age_company"))</f>
        <v>little_age_company</v>
      </c>
    </row>
    <row r="558" spans="1:18" ht="19.95" customHeight="1" x14ac:dyDescent="0.3">
      <c r="A558" s="13" t="s">
        <v>1682</v>
      </c>
      <c r="B558" s="14" t="s">
        <v>1728</v>
      </c>
      <c r="C558" s="14">
        <v>3.3</v>
      </c>
      <c r="D558" s="15" t="s">
        <v>2037</v>
      </c>
      <c r="E558" s="14" t="s">
        <v>328</v>
      </c>
      <c r="F558" s="16" t="s">
        <v>1752</v>
      </c>
      <c r="G558" s="16" t="s">
        <v>46</v>
      </c>
      <c r="H558" s="14">
        <v>2015</v>
      </c>
      <c r="I558" s="16" t="s">
        <v>53</v>
      </c>
      <c r="J558" s="16" t="s">
        <v>67</v>
      </c>
      <c r="K558" s="16" t="s">
        <v>67</v>
      </c>
      <c r="L558" s="16" t="s">
        <v>24</v>
      </c>
      <c r="M558" s="16">
        <v>-1</v>
      </c>
      <c r="N558" s="14">
        <v>128</v>
      </c>
      <c r="O558" s="14">
        <v>201</v>
      </c>
      <c r="P558" s="14">
        <v>164.5</v>
      </c>
      <c r="Q558" s="14">
        <v>11</v>
      </c>
      <c r="R558" s="17" t="str">
        <f>IF(Cleaned_DS_jobs!$Q558&lt;10,"little_age_company",IF(AND(Cleaned_DS_jobs!$Q558&gt;=10,Cleaned_DS_jobs!$Q558&lt;=20),"average_age_company","Big_age_company"))</f>
        <v>average_age_company</v>
      </c>
    </row>
    <row r="559" spans="1:18" ht="19.95" customHeight="1" x14ac:dyDescent="0.3">
      <c r="A559" s="18" t="s">
        <v>26</v>
      </c>
      <c r="B559" s="19" t="s">
        <v>1728</v>
      </c>
      <c r="C559" s="19">
        <v>3.3</v>
      </c>
      <c r="D559" s="20" t="s">
        <v>2327</v>
      </c>
      <c r="E559" s="19" t="s">
        <v>77</v>
      </c>
      <c r="F559" s="21" t="s">
        <v>1826</v>
      </c>
      <c r="G559" s="21" t="s">
        <v>46</v>
      </c>
      <c r="H559" s="19">
        <v>1972</v>
      </c>
      <c r="I559" s="21" t="s">
        <v>53</v>
      </c>
      <c r="J559" s="21" t="s">
        <v>22</v>
      </c>
      <c r="K559" s="21" t="s">
        <v>23</v>
      </c>
      <c r="L559" s="21" t="s">
        <v>101</v>
      </c>
      <c r="M559" s="21" t="s">
        <v>1473</v>
      </c>
      <c r="N559" s="19">
        <v>128</v>
      </c>
      <c r="O559" s="19">
        <v>201</v>
      </c>
      <c r="P559" s="19">
        <v>164.5</v>
      </c>
      <c r="Q559" s="19">
        <v>54</v>
      </c>
      <c r="R559" s="22" t="str">
        <f>IF(Cleaned_DS_jobs!$Q559&lt;10,"little_age_company",IF(AND(Cleaned_DS_jobs!$Q559&gt;=10,Cleaned_DS_jobs!$Q559&lt;=20),"average_age_company","Big_age_company"))</f>
        <v>Big_age_company</v>
      </c>
    </row>
    <row r="560" spans="1:18" ht="19.95" customHeight="1" x14ac:dyDescent="0.3">
      <c r="A560" s="13" t="s">
        <v>1474</v>
      </c>
      <c r="B560" s="14" t="s">
        <v>1728</v>
      </c>
      <c r="C560" s="14">
        <v>3.8</v>
      </c>
      <c r="D560" s="15" t="s">
        <v>2328</v>
      </c>
      <c r="E560" s="14" t="s">
        <v>19</v>
      </c>
      <c r="F560" s="16" t="s">
        <v>1956</v>
      </c>
      <c r="G560" s="16" t="s">
        <v>52</v>
      </c>
      <c r="H560" s="14">
        <v>1996</v>
      </c>
      <c r="I560" s="16" t="s">
        <v>21</v>
      </c>
      <c r="J560" s="16" t="s">
        <v>40</v>
      </c>
      <c r="K560" s="16" t="s">
        <v>34</v>
      </c>
      <c r="L560" s="16" t="s">
        <v>164</v>
      </c>
      <c r="M560" s="16" t="s">
        <v>1478</v>
      </c>
      <c r="N560" s="14">
        <v>128</v>
      </c>
      <c r="O560" s="14">
        <v>201</v>
      </c>
      <c r="P560" s="14">
        <v>164.5</v>
      </c>
      <c r="Q560" s="14">
        <v>30</v>
      </c>
      <c r="R560" s="17" t="str">
        <f>IF(Cleaned_DS_jobs!$Q560&lt;10,"little_age_company",IF(AND(Cleaned_DS_jobs!$Q560&gt;=10,Cleaned_DS_jobs!$Q560&lt;=20),"average_age_company","Big_age_company"))</f>
        <v>Big_age_company</v>
      </c>
    </row>
    <row r="561" spans="1:18" ht="19.95" customHeight="1" x14ac:dyDescent="0.3">
      <c r="A561" s="18" t="s">
        <v>26</v>
      </c>
      <c r="B561" s="19" t="s">
        <v>1728</v>
      </c>
      <c r="C561" s="19">
        <v>4.5</v>
      </c>
      <c r="D561" s="20" t="s">
        <v>2329</v>
      </c>
      <c r="E561" s="19" t="s">
        <v>29</v>
      </c>
      <c r="F561" s="21" t="s">
        <v>1851</v>
      </c>
      <c r="G561" s="21" t="s">
        <v>46</v>
      </c>
      <c r="H561" s="19">
        <v>2004</v>
      </c>
      <c r="I561" s="21" t="s">
        <v>53</v>
      </c>
      <c r="J561" s="21" t="s">
        <v>40</v>
      </c>
      <c r="K561" s="21" t="s">
        <v>34</v>
      </c>
      <c r="L561" s="21" t="s">
        <v>24</v>
      </c>
      <c r="M561" s="21">
        <v>-1</v>
      </c>
      <c r="N561" s="19">
        <v>128</v>
      </c>
      <c r="O561" s="19">
        <v>201</v>
      </c>
      <c r="P561" s="19">
        <v>164.5</v>
      </c>
      <c r="Q561" s="19">
        <v>22</v>
      </c>
      <c r="R561" s="22" t="str">
        <f>IF(Cleaned_DS_jobs!$Q561&lt;10,"little_age_company",IF(AND(Cleaned_DS_jobs!$Q561&gt;=10,Cleaned_DS_jobs!$Q561&lt;=20),"average_age_company","Big_age_company"))</f>
        <v>Big_age_company</v>
      </c>
    </row>
    <row r="562" spans="1:18" ht="19.95" customHeight="1" x14ac:dyDescent="0.3">
      <c r="A562" s="13" t="s">
        <v>189</v>
      </c>
      <c r="B562" s="14" t="s">
        <v>1728</v>
      </c>
      <c r="C562" s="14">
        <v>4.5</v>
      </c>
      <c r="D562" s="15" t="s">
        <v>2001</v>
      </c>
      <c r="E562" s="14" t="s">
        <v>179</v>
      </c>
      <c r="F562" s="16" t="s">
        <v>1768</v>
      </c>
      <c r="G562" s="16" t="s">
        <v>52</v>
      </c>
      <c r="H562" s="14">
        <v>2005</v>
      </c>
      <c r="I562" s="16" t="s">
        <v>53</v>
      </c>
      <c r="J562" s="16" t="s">
        <v>118</v>
      </c>
      <c r="K562" s="16" t="s">
        <v>98</v>
      </c>
      <c r="L562" s="16" t="s">
        <v>164</v>
      </c>
      <c r="M562" s="16">
        <v>-1</v>
      </c>
      <c r="N562" s="14">
        <v>128</v>
      </c>
      <c r="O562" s="14">
        <v>201</v>
      </c>
      <c r="P562" s="14">
        <v>164.5</v>
      </c>
      <c r="Q562" s="14">
        <v>21</v>
      </c>
      <c r="R562" s="17" t="str">
        <f>IF(Cleaned_DS_jobs!$Q562&lt;10,"little_age_company",IF(AND(Cleaned_DS_jobs!$Q562&gt;=10,Cleaned_DS_jobs!$Q562&lt;=20),"average_age_company","Big_age_company"))</f>
        <v>Big_age_company</v>
      </c>
    </row>
    <row r="563" spans="1:18" ht="19.95" customHeight="1" x14ac:dyDescent="0.3">
      <c r="A563" s="18" t="s">
        <v>1481</v>
      </c>
      <c r="B563" s="19" t="s">
        <v>1728</v>
      </c>
      <c r="C563" s="19">
        <v>3.4</v>
      </c>
      <c r="D563" s="20" t="s">
        <v>2330</v>
      </c>
      <c r="E563" s="19" t="s">
        <v>29</v>
      </c>
      <c r="F563" s="21" t="s">
        <v>1745</v>
      </c>
      <c r="G563" s="21" t="s">
        <v>20</v>
      </c>
      <c r="H563" s="19">
        <v>2017</v>
      </c>
      <c r="I563" s="21" t="s">
        <v>53</v>
      </c>
      <c r="J563" s="21" t="s">
        <v>175</v>
      </c>
      <c r="K563" s="21" t="s">
        <v>175</v>
      </c>
      <c r="L563" s="21" t="s">
        <v>35</v>
      </c>
      <c r="M563" s="21">
        <v>-1</v>
      </c>
      <c r="N563" s="19">
        <v>128</v>
      </c>
      <c r="O563" s="19">
        <v>201</v>
      </c>
      <c r="P563" s="19">
        <v>164.5</v>
      </c>
      <c r="Q563" s="19">
        <v>9</v>
      </c>
      <c r="R563" s="22" t="str">
        <f>IF(Cleaned_DS_jobs!$Q563&lt;10,"little_age_company",IF(AND(Cleaned_DS_jobs!$Q563&gt;=10,Cleaned_DS_jobs!$Q563&lt;=20),"average_age_company","Big_age_company"))</f>
        <v>little_age_company</v>
      </c>
    </row>
    <row r="564" spans="1:18" ht="19.95" customHeight="1" x14ac:dyDescent="0.3">
      <c r="A564" s="13" t="s">
        <v>240</v>
      </c>
      <c r="B564" s="14" t="s">
        <v>1728</v>
      </c>
      <c r="C564" s="14">
        <v>3.1</v>
      </c>
      <c r="D564" s="15" t="s">
        <v>2331</v>
      </c>
      <c r="E564" s="14" t="s">
        <v>83</v>
      </c>
      <c r="F564" s="16" t="s">
        <v>1957</v>
      </c>
      <c r="G564" s="16" t="s">
        <v>20</v>
      </c>
      <c r="H564" s="14">
        <v>1974</v>
      </c>
      <c r="I564" s="16" t="s">
        <v>53</v>
      </c>
      <c r="J564" s="16" t="s">
        <v>286</v>
      </c>
      <c r="K564" s="16" t="s">
        <v>34</v>
      </c>
      <c r="L564" s="16" t="s">
        <v>101</v>
      </c>
      <c r="M564" s="16">
        <v>-1</v>
      </c>
      <c r="N564" s="14">
        <v>128</v>
      </c>
      <c r="O564" s="14">
        <v>201</v>
      </c>
      <c r="P564" s="14">
        <v>164.5</v>
      </c>
      <c r="Q564" s="14">
        <v>52</v>
      </c>
      <c r="R564" s="17" t="str">
        <f>IF(Cleaned_DS_jobs!$Q564&lt;10,"little_age_company",IF(AND(Cleaned_DS_jobs!$Q564&gt;=10,Cleaned_DS_jobs!$Q564&lt;=20),"average_age_company","Big_age_company"))</f>
        <v>Big_age_company</v>
      </c>
    </row>
    <row r="565" spans="1:18" ht="19.95" customHeight="1" x14ac:dyDescent="0.3">
      <c r="A565" s="18" t="s">
        <v>1487</v>
      </c>
      <c r="B565" s="19" t="s">
        <v>1728</v>
      </c>
      <c r="C565" s="19">
        <v>4</v>
      </c>
      <c r="D565" s="20" t="s">
        <v>2040</v>
      </c>
      <c r="E565" s="19" t="s">
        <v>143</v>
      </c>
      <c r="F565" s="21" t="s">
        <v>1792</v>
      </c>
      <c r="G565" s="21" t="s">
        <v>31</v>
      </c>
      <c r="H565" s="19">
        <v>1982</v>
      </c>
      <c r="I565" s="21" t="s">
        <v>32</v>
      </c>
      <c r="J565" s="21" t="s">
        <v>59</v>
      </c>
      <c r="K565" s="21" t="s">
        <v>60</v>
      </c>
      <c r="L565" s="21" t="s">
        <v>79</v>
      </c>
      <c r="M565" s="21">
        <v>-1</v>
      </c>
      <c r="N565" s="19">
        <v>128</v>
      </c>
      <c r="O565" s="19">
        <v>201</v>
      </c>
      <c r="P565" s="19">
        <v>164.5</v>
      </c>
      <c r="Q565" s="19">
        <v>44</v>
      </c>
      <c r="R565" s="22" t="str">
        <f>IF(Cleaned_DS_jobs!$Q565&lt;10,"little_age_company",IF(AND(Cleaned_DS_jobs!$Q565&gt;=10,Cleaned_DS_jobs!$Q565&lt;=20),"average_age_company","Big_age_company"))</f>
        <v>Big_age_company</v>
      </c>
    </row>
    <row r="566" spans="1:18" ht="19.95" customHeight="1" x14ac:dyDescent="0.3">
      <c r="A566" s="13" t="s">
        <v>1174</v>
      </c>
      <c r="B566" s="14" t="s">
        <v>1728</v>
      </c>
      <c r="C566" s="14">
        <v>3.3</v>
      </c>
      <c r="D566" s="15" t="s">
        <v>2037</v>
      </c>
      <c r="E566" s="14" t="s">
        <v>83</v>
      </c>
      <c r="F566" s="16" t="s">
        <v>1752</v>
      </c>
      <c r="G566" s="16" t="s">
        <v>46</v>
      </c>
      <c r="H566" s="14">
        <v>2015</v>
      </c>
      <c r="I566" s="16" t="s">
        <v>53</v>
      </c>
      <c r="J566" s="16" t="s">
        <v>67</v>
      </c>
      <c r="K566" s="16" t="s">
        <v>67</v>
      </c>
      <c r="L566" s="16" t="s">
        <v>24</v>
      </c>
      <c r="M566" s="16">
        <v>-1</v>
      </c>
      <c r="N566" s="14">
        <v>128</v>
      </c>
      <c r="O566" s="14">
        <v>201</v>
      </c>
      <c r="P566" s="14">
        <v>164.5</v>
      </c>
      <c r="Q566" s="14">
        <v>11</v>
      </c>
      <c r="R566" s="17" t="str">
        <f>IF(Cleaned_DS_jobs!$Q566&lt;10,"little_age_company",IF(AND(Cleaned_DS_jobs!$Q566&gt;=10,Cleaned_DS_jobs!$Q566&lt;=20),"average_age_company","Big_age_company"))</f>
        <v>average_age_company</v>
      </c>
    </row>
    <row r="567" spans="1:18" ht="19.95" customHeight="1" x14ac:dyDescent="0.3">
      <c r="A567" s="18" t="s">
        <v>1489</v>
      </c>
      <c r="B567" s="19" t="s">
        <v>1728</v>
      </c>
      <c r="C567" s="19">
        <v>4.0999999999999996</v>
      </c>
      <c r="D567" s="20" t="s">
        <v>2332</v>
      </c>
      <c r="E567" s="19" t="s">
        <v>1036</v>
      </c>
      <c r="F567" s="21" t="s">
        <v>1904</v>
      </c>
      <c r="G567" s="21" t="s">
        <v>20</v>
      </c>
      <c r="H567" s="19">
        <v>1976</v>
      </c>
      <c r="I567" s="21" t="s">
        <v>53</v>
      </c>
      <c r="J567" s="21" t="s">
        <v>338</v>
      </c>
      <c r="K567" s="21" t="s">
        <v>48</v>
      </c>
      <c r="L567" s="21" t="s">
        <v>41</v>
      </c>
      <c r="M567" s="21">
        <v>-1</v>
      </c>
      <c r="N567" s="19">
        <v>128</v>
      </c>
      <c r="O567" s="19">
        <v>201</v>
      </c>
      <c r="P567" s="19">
        <v>164.5</v>
      </c>
      <c r="Q567" s="19">
        <v>50</v>
      </c>
      <c r="R567" s="22" t="str">
        <f>IF(Cleaned_DS_jobs!$Q567&lt;10,"little_age_company",IF(AND(Cleaned_DS_jobs!$Q567&gt;=10,Cleaned_DS_jobs!$Q567&lt;=20),"average_age_company","Big_age_company"))</f>
        <v>Big_age_company</v>
      </c>
    </row>
    <row r="568" spans="1:18" ht="19.95" customHeight="1" x14ac:dyDescent="0.3">
      <c r="A568" s="13" t="s">
        <v>1492</v>
      </c>
      <c r="B568" s="14" t="s">
        <v>1728</v>
      </c>
      <c r="C568" s="14">
        <v>4.2</v>
      </c>
      <c r="D568" s="15" t="s">
        <v>1999</v>
      </c>
      <c r="E568" s="14" t="s">
        <v>168</v>
      </c>
      <c r="F568" s="16" t="s">
        <v>1766</v>
      </c>
      <c r="G568" s="16" t="s">
        <v>52</v>
      </c>
      <c r="H568" s="14">
        <v>1996</v>
      </c>
      <c r="I568" s="16" t="s">
        <v>53</v>
      </c>
      <c r="J568" s="16" t="s">
        <v>169</v>
      </c>
      <c r="K568" s="16" t="s">
        <v>170</v>
      </c>
      <c r="L568" s="16" t="s">
        <v>41</v>
      </c>
      <c r="M568" s="16">
        <v>-1</v>
      </c>
      <c r="N568" s="14">
        <v>128</v>
      </c>
      <c r="O568" s="14">
        <v>201</v>
      </c>
      <c r="P568" s="14">
        <v>164.5</v>
      </c>
      <c r="Q568" s="14">
        <v>30</v>
      </c>
      <c r="R568" s="17" t="str">
        <f>IF(Cleaned_DS_jobs!$Q568&lt;10,"little_age_company",IF(AND(Cleaned_DS_jobs!$Q568&gt;=10,Cleaned_DS_jobs!$Q568&lt;=20),"average_age_company","Big_age_company"))</f>
        <v>Big_age_company</v>
      </c>
    </row>
    <row r="569" spans="1:18" ht="19.95" customHeight="1" x14ac:dyDescent="0.3">
      <c r="A569" s="18" t="s">
        <v>221</v>
      </c>
      <c r="B569" s="19" t="s">
        <v>1728</v>
      </c>
      <c r="C569" s="19">
        <v>3.9</v>
      </c>
      <c r="D569" s="20" t="s">
        <v>2333</v>
      </c>
      <c r="E569" s="19" t="s">
        <v>19</v>
      </c>
      <c r="F569" s="21" t="s">
        <v>1744</v>
      </c>
      <c r="G569" s="21" t="s">
        <v>117</v>
      </c>
      <c r="H569" s="19">
        <v>-1</v>
      </c>
      <c r="I569" s="21" t="s">
        <v>53</v>
      </c>
      <c r="J569" s="21" t="s">
        <v>92</v>
      </c>
      <c r="K569" s="21" t="s">
        <v>60</v>
      </c>
      <c r="L569" s="21" t="s">
        <v>24</v>
      </c>
      <c r="M569" s="21">
        <v>-1</v>
      </c>
      <c r="N569" s="19">
        <v>128</v>
      </c>
      <c r="O569" s="19">
        <v>201</v>
      </c>
      <c r="P569" s="19">
        <v>164.5</v>
      </c>
      <c r="Q569" s="19">
        <v>-1</v>
      </c>
      <c r="R569" s="22" t="str">
        <f>IF(Cleaned_DS_jobs!$Q569&lt;10,"little_age_company",IF(AND(Cleaned_DS_jobs!$Q569&gt;=10,Cleaned_DS_jobs!$Q569&lt;=20),"average_age_company","Big_age_company"))</f>
        <v>little_age_company</v>
      </c>
    </row>
    <row r="570" spans="1:18" ht="19.95" customHeight="1" x14ac:dyDescent="0.3">
      <c r="A570" s="13" t="s">
        <v>26</v>
      </c>
      <c r="B570" s="14" t="s">
        <v>1728</v>
      </c>
      <c r="C570" s="14">
        <v>-1</v>
      </c>
      <c r="D570" s="15" t="s">
        <v>1497</v>
      </c>
      <c r="E570" s="14" t="s">
        <v>903</v>
      </c>
      <c r="F570" s="16" t="s">
        <v>1958</v>
      </c>
      <c r="G570" s="16" t="s">
        <v>688</v>
      </c>
      <c r="H570" s="14">
        <v>-1</v>
      </c>
      <c r="I570" s="16" t="s">
        <v>32</v>
      </c>
      <c r="J570" s="16" t="s">
        <v>1972</v>
      </c>
      <c r="K570" s="16" t="s">
        <v>1972</v>
      </c>
      <c r="L570" s="16" t="s">
        <v>24</v>
      </c>
      <c r="M570" s="16">
        <v>-1</v>
      </c>
      <c r="N570" s="14">
        <v>128</v>
      </c>
      <c r="O570" s="14">
        <v>201</v>
      </c>
      <c r="P570" s="14">
        <v>164.5</v>
      </c>
      <c r="Q570" s="14">
        <v>-1</v>
      </c>
      <c r="R570" s="17" t="str">
        <f>IF(Cleaned_DS_jobs!$Q570&lt;10,"little_age_company",IF(AND(Cleaned_DS_jobs!$Q570&gt;=10,Cleaned_DS_jobs!$Q570&lt;=20),"average_age_company","Big_age_company"))</f>
        <v>little_age_company</v>
      </c>
    </row>
    <row r="571" spans="1:18" ht="19.95" customHeight="1" x14ac:dyDescent="0.3">
      <c r="A571" s="18" t="s">
        <v>1698</v>
      </c>
      <c r="B571" s="19" t="s">
        <v>1728</v>
      </c>
      <c r="C571" s="19">
        <v>3.3</v>
      </c>
      <c r="D571" s="20" t="s">
        <v>2090</v>
      </c>
      <c r="E571" s="19" t="s">
        <v>178</v>
      </c>
      <c r="F571" s="21" t="s">
        <v>1750</v>
      </c>
      <c r="G571" s="21" t="s">
        <v>31</v>
      </c>
      <c r="H571" s="19">
        <v>1958</v>
      </c>
      <c r="I571" s="21" t="s">
        <v>21</v>
      </c>
      <c r="J571" s="21" t="s">
        <v>118</v>
      </c>
      <c r="K571" s="21" t="s">
        <v>98</v>
      </c>
      <c r="L571" s="21" t="s">
        <v>35</v>
      </c>
      <c r="M571" s="21" t="s">
        <v>545</v>
      </c>
      <c r="N571" s="19">
        <v>128</v>
      </c>
      <c r="O571" s="19">
        <v>201</v>
      </c>
      <c r="P571" s="19">
        <v>164.5</v>
      </c>
      <c r="Q571" s="19">
        <v>68</v>
      </c>
      <c r="R571" s="22" t="str">
        <f>IF(Cleaned_DS_jobs!$Q571&lt;10,"little_age_company",IF(AND(Cleaned_DS_jobs!$Q571&gt;=10,Cleaned_DS_jobs!$Q571&lt;=20),"average_age_company","Big_age_company"))</f>
        <v>Big_age_company</v>
      </c>
    </row>
    <row r="572" spans="1:18" ht="19.95" customHeight="1" x14ac:dyDescent="0.3">
      <c r="A572" s="13" t="s">
        <v>26</v>
      </c>
      <c r="B572" s="14" t="s">
        <v>1729</v>
      </c>
      <c r="C572" s="14">
        <v>3.9</v>
      </c>
      <c r="D572" s="15" t="s">
        <v>2055</v>
      </c>
      <c r="E572" s="14" t="s">
        <v>192</v>
      </c>
      <c r="F572" s="16" t="s">
        <v>1753</v>
      </c>
      <c r="G572" s="16" t="s">
        <v>66</v>
      </c>
      <c r="H572" s="14">
        <v>1911</v>
      </c>
      <c r="I572" s="16" t="s">
        <v>53</v>
      </c>
      <c r="J572" s="16" t="s">
        <v>397</v>
      </c>
      <c r="K572" s="16" t="s">
        <v>48</v>
      </c>
      <c r="L572" s="16" t="s">
        <v>68</v>
      </c>
      <c r="M572" s="16">
        <v>-1</v>
      </c>
      <c r="N572" s="14">
        <v>138</v>
      </c>
      <c r="O572" s="14">
        <v>158</v>
      </c>
      <c r="P572" s="14">
        <v>148</v>
      </c>
      <c r="Q572" s="14">
        <v>115</v>
      </c>
      <c r="R572" s="17" t="str">
        <f>IF(Cleaned_DS_jobs!$Q572&lt;10,"little_age_company",IF(AND(Cleaned_DS_jobs!$Q572&gt;=10,Cleaned_DS_jobs!$Q572&lt;=20),"average_age_company","Big_age_company"))</f>
        <v>Big_age_company</v>
      </c>
    </row>
    <row r="573" spans="1:18" ht="19.95" customHeight="1" x14ac:dyDescent="0.3">
      <c r="A573" s="18" t="s">
        <v>390</v>
      </c>
      <c r="B573" s="19" t="s">
        <v>1729</v>
      </c>
      <c r="C573" s="19">
        <v>4.5</v>
      </c>
      <c r="D573" s="20" t="s">
        <v>2054</v>
      </c>
      <c r="E573" s="19" t="s">
        <v>393</v>
      </c>
      <c r="F573" s="21" t="s">
        <v>1804</v>
      </c>
      <c r="G573" s="21" t="s">
        <v>52</v>
      </c>
      <c r="H573" s="19">
        <v>2003</v>
      </c>
      <c r="I573" s="21" t="s">
        <v>53</v>
      </c>
      <c r="J573" s="21" t="s">
        <v>59</v>
      </c>
      <c r="K573" s="21" t="s">
        <v>60</v>
      </c>
      <c r="L573" s="21" t="s">
        <v>160</v>
      </c>
      <c r="M573" s="21">
        <v>-1</v>
      </c>
      <c r="N573" s="19">
        <v>138</v>
      </c>
      <c r="O573" s="19">
        <v>158</v>
      </c>
      <c r="P573" s="19">
        <v>148</v>
      </c>
      <c r="Q573" s="19">
        <v>23</v>
      </c>
      <c r="R573" s="22" t="str">
        <f>IF(Cleaned_DS_jobs!$Q573&lt;10,"little_age_company",IF(AND(Cleaned_DS_jobs!$Q573&gt;=10,Cleaned_DS_jobs!$Q573&lt;=20),"average_age_company","Big_age_company"))</f>
        <v>Big_age_company</v>
      </c>
    </row>
    <row r="574" spans="1:18" ht="19.95" customHeight="1" x14ac:dyDescent="0.3">
      <c r="A574" s="13" t="s">
        <v>1502</v>
      </c>
      <c r="B574" s="14" t="s">
        <v>1729</v>
      </c>
      <c r="C574" s="14">
        <v>4.2</v>
      </c>
      <c r="D574" s="15" t="s">
        <v>2334</v>
      </c>
      <c r="E574" s="14" t="s">
        <v>1505</v>
      </c>
      <c r="F574" s="16" t="s">
        <v>1959</v>
      </c>
      <c r="G574" s="16" t="s">
        <v>46</v>
      </c>
      <c r="H574" s="14">
        <v>1971</v>
      </c>
      <c r="I574" s="16" t="s">
        <v>32</v>
      </c>
      <c r="J574" s="16" t="s">
        <v>175</v>
      </c>
      <c r="K574" s="16" t="s">
        <v>175</v>
      </c>
      <c r="L574" s="16" t="s">
        <v>41</v>
      </c>
      <c r="M574" s="16" t="s">
        <v>1506</v>
      </c>
      <c r="N574" s="14">
        <v>138</v>
      </c>
      <c r="O574" s="14">
        <v>158</v>
      </c>
      <c r="P574" s="14">
        <v>148</v>
      </c>
      <c r="Q574" s="14">
        <v>55</v>
      </c>
      <c r="R574" s="17" t="str">
        <f>IF(Cleaned_DS_jobs!$Q574&lt;10,"little_age_company",IF(AND(Cleaned_DS_jobs!$Q574&gt;=10,Cleaned_DS_jobs!$Q574&lt;=20),"average_age_company","Big_age_company"))</f>
        <v>Big_age_company</v>
      </c>
    </row>
    <row r="575" spans="1:18" ht="19.95" customHeight="1" x14ac:dyDescent="0.3">
      <c r="A575" s="18" t="s">
        <v>1692</v>
      </c>
      <c r="B575" s="19" t="s">
        <v>1729</v>
      </c>
      <c r="C575" s="19">
        <v>3.5</v>
      </c>
      <c r="D575" s="20" t="s">
        <v>2071</v>
      </c>
      <c r="E575" s="19" t="s">
        <v>30</v>
      </c>
      <c r="F575" s="21" t="s">
        <v>1815</v>
      </c>
      <c r="G575" s="21" t="s">
        <v>31</v>
      </c>
      <c r="H575" s="19">
        <v>-1</v>
      </c>
      <c r="I575" s="21" t="s">
        <v>32</v>
      </c>
      <c r="J575" s="21" t="s">
        <v>175</v>
      </c>
      <c r="K575" s="21" t="s">
        <v>175</v>
      </c>
      <c r="L575" s="21" t="s">
        <v>79</v>
      </c>
      <c r="M575" s="21">
        <v>-1</v>
      </c>
      <c r="N575" s="19">
        <v>138</v>
      </c>
      <c r="O575" s="19">
        <v>158</v>
      </c>
      <c r="P575" s="19">
        <v>148</v>
      </c>
      <c r="Q575" s="19">
        <v>-1</v>
      </c>
      <c r="R575" s="22" t="str">
        <f>IF(Cleaned_DS_jobs!$Q575&lt;10,"little_age_company",IF(AND(Cleaned_DS_jobs!$Q575&gt;=10,Cleaned_DS_jobs!$Q575&lt;=20),"average_age_company","Big_age_company"))</f>
        <v>little_age_company</v>
      </c>
    </row>
    <row r="576" spans="1:18" ht="19.95" customHeight="1" x14ac:dyDescent="0.3">
      <c r="A576" s="13" t="s">
        <v>1693</v>
      </c>
      <c r="B576" s="14" t="s">
        <v>1729</v>
      </c>
      <c r="C576" s="14">
        <v>4</v>
      </c>
      <c r="D576" s="15" t="s">
        <v>2247</v>
      </c>
      <c r="E576" s="14" t="s">
        <v>1186</v>
      </c>
      <c r="F576" s="16" t="s">
        <v>1919</v>
      </c>
      <c r="G576" s="16" t="s">
        <v>20</v>
      </c>
      <c r="H576" s="14">
        <v>1974</v>
      </c>
      <c r="I576" s="16" t="s">
        <v>53</v>
      </c>
      <c r="J576" s="16" t="s">
        <v>175</v>
      </c>
      <c r="K576" s="16" t="s">
        <v>175</v>
      </c>
      <c r="L576" s="16" t="s">
        <v>41</v>
      </c>
      <c r="M576" s="16">
        <v>-1</v>
      </c>
      <c r="N576" s="14">
        <v>138</v>
      </c>
      <c r="O576" s="14">
        <v>158</v>
      </c>
      <c r="P576" s="14">
        <v>148</v>
      </c>
      <c r="Q576" s="14">
        <v>52</v>
      </c>
      <c r="R576" s="17" t="str">
        <f>IF(Cleaned_DS_jobs!$Q576&lt;10,"little_age_company",IF(AND(Cleaned_DS_jobs!$Q576&gt;=10,Cleaned_DS_jobs!$Q576&lt;=20),"average_age_company","Big_age_company"))</f>
        <v>Big_age_company</v>
      </c>
    </row>
    <row r="577" spans="1:18" ht="19.95" customHeight="1" x14ac:dyDescent="0.3">
      <c r="A577" s="18" t="s">
        <v>1187</v>
      </c>
      <c r="B577" s="19" t="s">
        <v>1729</v>
      </c>
      <c r="C577" s="19">
        <v>4.5</v>
      </c>
      <c r="D577" s="20" t="s">
        <v>2032</v>
      </c>
      <c r="E577" s="19" t="s">
        <v>295</v>
      </c>
      <c r="F577" s="21" t="s">
        <v>1786</v>
      </c>
      <c r="G577" s="21" t="s">
        <v>107</v>
      </c>
      <c r="H577" s="19">
        <v>2010</v>
      </c>
      <c r="I577" s="21" t="s">
        <v>53</v>
      </c>
      <c r="J577" s="21" t="s">
        <v>175</v>
      </c>
      <c r="K577" s="21" t="s">
        <v>175</v>
      </c>
      <c r="L577" s="21" t="s">
        <v>41</v>
      </c>
      <c r="M577" s="21">
        <v>-1</v>
      </c>
      <c r="N577" s="19">
        <v>138</v>
      </c>
      <c r="O577" s="19">
        <v>158</v>
      </c>
      <c r="P577" s="19">
        <v>148</v>
      </c>
      <c r="Q577" s="19">
        <v>16</v>
      </c>
      <c r="R577" s="22" t="str">
        <f>IF(Cleaned_DS_jobs!$Q577&lt;10,"little_age_company",IF(AND(Cleaned_DS_jobs!$Q577&gt;=10,Cleaned_DS_jobs!$Q577&lt;=20),"average_age_company","Big_age_company"))</f>
        <v>average_age_company</v>
      </c>
    </row>
    <row r="578" spans="1:18" ht="19.95" customHeight="1" x14ac:dyDescent="0.3">
      <c r="A578" s="13" t="s">
        <v>615</v>
      </c>
      <c r="B578" s="14" t="s">
        <v>1729</v>
      </c>
      <c r="C578" s="14">
        <v>4.5</v>
      </c>
      <c r="D578" s="15" t="s">
        <v>1983</v>
      </c>
      <c r="E578" s="14" t="s">
        <v>30</v>
      </c>
      <c r="F578" s="16" t="s">
        <v>1753</v>
      </c>
      <c r="G578" s="16" t="s">
        <v>46</v>
      </c>
      <c r="H578" s="14">
        <v>2012</v>
      </c>
      <c r="I578" s="16" t="s">
        <v>53</v>
      </c>
      <c r="J578" s="16" t="s">
        <v>84</v>
      </c>
      <c r="K578" s="16" t="s">
        <v>60</v>
      </c>
      <c r="L578" s="16" t="s">
        <v>41</v>
      </c>
      <c r="M578" s="16" t="s">
        <v>88</v>
      </c>
      <c r="N578" s="14">
        <v>138</v>
      </c>
      <c r="O578" s="14">
        <v>158</v>
      </c>
      <c r="P578" s="14">
        <v>148</v>
      </c>
      <c r="Q578" s="14">
        <v>14</v>
      </c>
      <c r="R578" s="17" t="str">
        <f>IF(Cleaned_DS_jobs!$Q578&lt;10,"little_age_company",IF(AND(Cleaned_DS_jobs!$Q578&gt;=10,Cleaned_DS_jobs!$Q578&lt;=20),"average_age_company","Big_age_company"))</f>
        <v>average_age_company</v>
      </c>
    </row>
    <row r="579" spans="1:18" ht="19.95" customHeight="1" x14ac:dyDescent="0.3">
      <c r="A579" s="18" t="s">
        <v>1507</v>
      </c>
      <c r="B579" s="19" t="s">
        <v>1729</v>
      </c>
      <c r="C579" s="19">
        <v>3.8</v>
      </c>
      <c r="D579" s="20" t="s">
        <v>2335</v>
      </c>
      <c r="E579" s="19" t="s">
        <v>382</v>
      </c>
      <c r="F579" s="21" t="s">
        <v>1802</v>
      </c>
      <c r="G579" s="21" t="s">
        <v>46</v>
      </c>
      <c r="H579" s="19">
        <v>-1</v>
      </c>
      <c r="I579" s="21" t="s">
        <v>1067</v>
      </c>
      <c r="J579" s="21" t="s">
        <v>1068</v>
      </c>
      <c r="K579" s="21" t="s">
        <v>1069</v>
      </c>
      <c r="L579" s="21" t="s">
        <v>24</v>
      </c>
      <c r="M579" s="21">
        <v>-1</v>
      </c>
      <c r="N579" s="19">
        <v>138</v>
      </c>
      <c r="O579" s="19">
        <v>158</v>
      </c>
      <c r="P579" s="19">
        <v>148</v>
      </c>
      <c r="Q579" s="19">
        <v>-1</v>
      </c>
      <c r="R579" s="22" t="str">
        <f>IF(Cleaned_DS_jobs!$Q579&lt;10,"little_age_company",IF(AND(Cleaned_DS_jobs!$Q579&gt;=10,Cleaned_DS_jobs!$Q579&lt;=20),"average_age_company","Big_age_company"))</f>
        <v>little_age_company</v>
      </c>
    </row>
    <row r="580" spans="1:18" ht="19.95" customHeight="1" x14ac:dyDescent="0.3">
      <c r="A580" s="13" t="s">
        <v>1190</v>
      </c>
      <c r="B580" s="14" t="s">
        <v>1729</v>
      </c>
      <c r="C580" s="14">
        <v>3.9</v>
      </c>
      <c r="D580" s="15" t="s">
        <v>2248</v>
      </c>
      <c r="E580" s="14" t="s">
        <v>1193</v>
      </c>
      <c r="F580" s="16" t="s">
        <v>1782</v>
      </c>
      <c r="G580" s="16" t="s">
        <v>66</v>
      </c>
      <c r="H580" s="14">
        <v>1933</v>
      </c>
      <c r="I580" s="16" t="s">
        <v>425</v>
      </c>
      <c r="J580" s="16" t="s">
        <v>411</v>
      </c>
      <c r="K580" s="16" t="s">
        <v>170</v>
      </c>
      <c r="L580" s="16" t="s">
        <v>24</v>
      </c>
      <c r="M580" s="16">
        <v>-1</v>
      </c>
      <c r="N580" s="14">
        <v>138</v>
      </c>
      <c r="O580" s="14">
        <v>158</v>
      </c>
      <c r="P580" s="14">
        <v>148</v>
      </c>
      <c r="Q580" s="14">
        <v>93</v>
      </c>
      <c r="R580" s="17" t="str">
        <f>IF(Cleaned_DS_jobs!$Q580&lt;10,"little_age_company",IF(AND(Cleaned_DS_jobs!$Q580&gt;=10,Cleaned_DS_jobs!$Q580&lt;=20),"average_age_company","Big_age_company"))</f>
        <v>Big_age_company</v>
      </c>
    </row>
    <row r="581" spans="1:18" ht="19.95" customHeight="1" x14ac:dyDescent="0.3">
      <c r="A581" s="18" t="s">
        <v>1510</v>
      </c>
      <c r="B581" s="19" t="s">
        <v>1729</v>
      </c>
      <c r="C581" s="19">
        <v>2</v>
      </c>
      <c r="D581" s="20" t="s">
        <v>2336</v>
      </c>
      <c r="E581" s="19" t="s">
        <v>1513</v>
      </c>
      <c r="F581" s="21" t="s">
        <v>1750</v>
      </c>
      <c r="G581" s="21" t="s">
        <v>52</v>
      </c>
      <c r="H581" s="19">
        <v>-1</v>
      </c>
      <c r="I581" s="21" t="s">
        <v>53</v>
      </c>
      <c r="J581" s="21" t="s">
        <v>67</v>
      </c>
      <c r="K581" s="21" t="s">
        <v>67</v>
      </c>
      <c r="L581" s="21" t="s">
        <v>24</v>
      </c>
      <c r="M581" s="21">
        <v>-1</v>
      </c>
      <c r="N581" s="19">
        <v>138</v>
      </c>
      <c r="O581" s="19">
        <v>158</v>
      </c>
      <c r="P581" s="19">
        <v>148</v>
      </c>
      <c r="Q581" s="19">
        <v>-1</v>
      </c>
      <c r="R581" s="22" t="str">
        <f>IF(Cleaned_DS_jobs!$Q581&lt;10,"little_age_company",IF(AND(Cleaned_DS_jobs!$Q581&gt;=10,Cleaned_DS_jobs!$Q581&lt;=20),"average_age_company","Big_age_company"))</f>
        <v>little_age_company</v>
      </c>
    </row>
    <row r="582" spans="1:18" ht="19.95" customHeight="1" x14ac:dyDescent="0.3">
      <c r="A582" s="13" t="s">
        <v>1699</v>
      </c>
      <c r="B582" s="14" t="s">
        <v>1729</v>
      </c>
      <c r="C582" s="14">
        <v>4.8</v>
      </c>
      <c r="D582" s="15" t="s">
        <v>2337</v>
      </c>
      <c r="E582" s="14" t="s">
        <v>233</v>
      </c>
      <c r="F582" s="16" t="s">
        <v>1776</v>
      </c>
      <c r="G582" s="16" t="s">
        <v>52</v>
      </c>
      <c r="H582" s="14">
        <v>2013</v>
      </c>
      <c r="I582" s="16" t="s">
        <v>32</v>
      </c>
      <c r="J582" s="16" t="s">
        <v>67</v>
      </c>
      <c r="K582" s="16" t="s">
        <v>67</v>
      </c>
      <c r="L582" s="16" t="s">
        <v>24</v>
      </c>
      <c r="M582" s="16">
        <v>-1</v>
      </c>
      <c r="N582" s="14">
        <v>138</v>
      </c>
      <c r="O582" s="14">
        <v>158</v>
      </c>
      <c r="P582" s="14">
        <v>148</v>
      </c>
      <c r="Q582" s="14">
        <v>13</v>
      </c>
      <c r="R582" s="17" t="str">
        <f>IF(Cleaned_DS_jobs!$Q582&lt;10,"little_age_company",IF(AND(Cleaned_DS_jobs!$Q582&gt;=10,Cleaned_DS_jobs!$Q582&lt;=20),"average_age_company","Big_age_company"))</f>
        <v>average_age_company</v>
      </c>
    </row>
    <row r="583" spans="1:18" ht="19.95" customHeight="1" x14ac:dyDescent="0.3">
      <c r="A583" s="18" t="s">
        <v>1517</v>
      </c>
      <c r="B583" s="19" t="s">
        <v>1729</v>
      </c>
      <c r="C583" s="19">
        <v>3.9</v>
      </c>
      <c r="D583" s="20" t="s">
        <v>2248</v>
      </c>
      <c r="E583" s="19" t="s">
        <v>1193</v>
      </c>
      <c r="F583" s="21" t="s">
        <v>1782</v>
      </c>
      <c r="G583" s="21" t="s">
        <v>66</v>
      </c>
      <c r="H583" s="19">
        <v>1933</v>
      </c>
      <c r="I583" s="21" t="s">
        <v>425</v>
      </c>
      <c r="J583" s="21" t="s">
        <v>411</v>
      </c>
      <c r="K583" s="21" t="s">
        <v>170</v>
      </c>
      <c r="L583" s="21" t="s">
        <v>24</v>
      </c>
      <c r="M583" s="21">
        <v>-1</v>
      </c>
      <c r="N583" s="19">
        <v>138</v>
      </c>
      <c r="O583" s="19">
        <v>158</v>
      </c>
      <c r="P583" s="19">
        <v>148</v>
      </c>
      <c r="Q583" s="19">
        <v>93</v>
      </c>
      <c r="R583" s="22" t="str">
        <f>IF(Cleaned_DS_jobs!$Q583&lt;10,"little_age_company",IF(AND(Cleaned_DS_jobs!$Q583&gt;=10,Cleaned_DS_jobs!$Q583&lt;=20),"average_age_company","Big_age_company"))</f>
        <v>Big_age_company</v>
      </c>
    </row>
    <row r="584" spans="1:18" ht="19.95" customHeight="1" x14ac:dyDescent="0.3">
      <c r="A584" s="13" t="s">
        <v>1202</v>
      </c>
      <c r="B584" s="14" t="s">
        <v>1729</v>
      </c>
      <c r="C584" s="14">
        <v>3.3</v>
      </c>
      <c r="D584" s="15" t="s">
        <v>2251</v>
      </c>
      <c r="E584" s="14" t="s">
        <v>1205</v>
      </c>
      <c r="F584" s="16" t="s">
        <v>1922</v>
      </c>
      <c r="G584" s="16" t="s">
        <v>31</v>
      </c>
      <c r="H584" s="14">
        <v>1875</v>
      </c>
      <c r="I584" s="16" t="s">
        <v>53</v>
      </c>
      <c r="J584" s="16" t="s">
        <v>302</v>
      </c>
      <c r="K584" s="16" t="s">
        <v>48</v>
      </c>
      <c r="L584" s="16" t="s">
        <v>68</v>
      </c>
      <c r="M584" s="16">
        <v>-1</v>
      </c>
      <c r="N584" s="14">
        <v>138</v>
      </c>
      <c r="O584" s="14">
        <v>158</v>
      </c>
      <c r="P584" s="14">
        <v>148</v>
      </c>
      <c r="Q584" s="14">
        <v>151</v>
      </c>
      <c r="R584" s="17" t="str">
        <f>IF(Cleaned_DS_jobs!$Q584&lt;10,"little_age_company",IF(AND(Cleaned_DS_jobs!$Q584&gt;=10,Cleaned_DS_jobs!$Q584&lt;=20),"average_age_company","Big_age_company"))</f>
        <v>Big_age_company</v>
      </c>
    </row>
    <row r="585" spans="1:18" ht="19.95" customHeight="1" x14ac:dyDescent="0.3">
      <c r="A585" s="18" t="s">
        <v>1700</v>
      </c>
      <c r="B585" s="19" t="s">
        <v>1729</v>
      </c>
      <c r="C585" s="19">
        <v>3.3</v>
      </c>
      <c r="D585" s="20" t="s">
        <v>2090</v>
      </c>
      <c r="E585" s="19" t="s">
        <v>71</v>
      </c>
      <c r="F585" s="21" t="s">
        <v>1750</v>
      </c>
      <c r="G585" s="21" t="s">
        <v>31</v>
      </c>
      <c r="H585" s="19">
        <v>1958</v>
      </c>
      <c r="I585" s="21" t="s">
        <v>21</v>
      </c>
      <c r="J585" s="21" t="s">
        <v>118</v>
      </c>
      <c r="K585" s="21" t="s">
        <v>98</v>
      </c>
      <c r="L585" s="21" t="s">
        <v>35</v>
      </c>
      <c r="M585" s="21" t="s">
        <v>545</v>
      </c>
      <c r="N585" s="19">
        <v>138</v>
      </c>
      <c r="O585" s="19">
        <v>158</v>
      </c>
      <c r="P585" s="19">
        <v>148</v>
      </c>
      <c r="Q585" s="19">
        <v>68</v>
      </c>
      <c r="R585" s="22" t="str">
        <f>IF(Cleaned_DS_jobs!$Q585&lt;10,"little_age_company",IF(AND(Cleaned_DS_jobs!$Q585&gt;=10,Cleaned_DS_jobs!$Q585&lt;=20),"average_age_company","Big_age_company"))</f>
        <v>Big_age_company</v>
      </c>
    </row>
    <row r="586" spans="1:18" ht="19.95" customHeight="1" x14ac:dyDescent="0.3">
      <c r="A586" s="13" t="s">
        <v>1206</v>
      </c>
      <c r="B586" s="14" t="s">
        <v>1729</v>
      </c>
      <c r="C586" s="14">
        <v>5</v>
      </c>
      <c r="D586" s="15" t="s">
        <v>2252</v>
      </c>
      <c r="E586" s="14" t="s">
        <v>1036</v>
      </c>
      <c r="F586" s="16" t="s">
        <v>1813</v>
      </c>
      <c r="G586" s="16" t="s">
        <v>52</v>
      </c>
      <c r="H586" s="14">
        <v>2016</v>
      </c>
      <c r="I586" s="16" t="s">
        <v>53</v>
      </c>
      <c r="J586" s="16" t="s">
        <v>84</v>
      </c>
      <c r="K586" s="16" t="s">
        <v>60</v>
      </c>
      <c r="L586" s="16" t="s">
        <v>24</v>
      </c>
      <c r="M586" s="16">
        <v>-1</v>
      </c>
      <c r="N586" s="14">
        <v>138</v>
      </c>
      <c r="O586" s="14">
        <v>158</v>
      </c>
      <c r="P586" s="14">
        <v>148</v>
      </c>
      <c r="Q586" s="14">
        <v>10</v>
      </c>
      <c r="R586" s="17" t="str">
        <f>IF(Cleaned_DS_jobs!$Q586&lt;10,"little_age_company",IF(AND(Cleaned_DS_jobs!$Q586&gt;=10,Cleaned_DS_jobs!$Q586&lt;=20),"average_age_company","Big_age_company"))</f>
        <v>average_age_company</v>
      </c>
    </row>
    <row r="587" spans="1:18" ht="19.95" customHeight="1" x14ac:dyDescent="0.3">
      <c r="A587" s="18" t="s">
        <v>1701</v>
      </c>
      <c r="B587" s="19" t="s">
        <v>1729</v>
      </c>
      <c r="C587" s="19">
        <v>4.4000000000000004</v>
      </c>
      <c r="D587" s="20" t="s">
        <v>2338</v>
      </c>
      <c r="E587" s="19" t="s">
        <v>1513</v>
      </c>
      <c r="F587" s="21" t="s">
        <v>1750</v>
      </c>
      <c r="G587" s="21" t="s">
        <v>52</v>
      </c>
      <c r="H587" s="19">
        <v>-1</v>
      </c>
      <c r="I587" s="21" t="s">
        <v>32</v>
      </c>
      <c r="J587" s="21" t="s">
        <v>1972</v>
      </c>
      <c r="K587" s="21" t="s">
        <v>1972</v>
      </c>
      <c r="L587" s="21" t="s">
        <v>24</v>
      </c>
      <c r="M587" s="21">
        <v>-1</v>
      </c>
      <c r="N587" s="19">
        <v>138</v>
      </c>
      <c r="O587" s="19">
        <v>158</v>
      </c>
      <c r="P587" s="19">
        <v>148</v>
      </c>
      <c r="Q587" s="19">
        <v>-1</v>
      </c>
      <c r="R587" s="22" t="str">
        <f>IF(Cleaned_DS_jobs!$Q587&lt;10,"little_age_company",IF(AND(Cleaned_DS_jobs!$Q587&gt;=10,Cleaned_DS_jobs!$Q587&lt;=20),"average_age_company","Big_age_company"))</f>
        <v>little_age_company</v>
      </c>
    </row>
    <row r="588" spans="1:18" ht="19.95" customHeight="1" x14ac:dyDescent="0.3">
      <c r="A588" s="13" t="s">
        <v>189</v>
      </c>
      <c r="B588" s="14" t="s">
        <v>1729</v>
      </c>
      <c r="C588" s="14">
        <v>3.4</v>
      </c>
      <c r="D588" s="15" t="s">
        <v>1997</v>
      </c>
      <c r="E588" s="14" t="s">
        <v>83</v>
      </c>
      <c r="F588" s="16" t="s">
        <v>1752</v>
      </c>
      <c r="G588" s="16" t="s">
        <v>52</v>
      </c>
      <c r="H588" s="14">
        <v>1992</v>
      </c>
      <c r="I588" s="16" t="s">
        <v>53</v>
      </c>
      <c r="J588" s="16" t="s">
        <v>54</v>
      </c>
      <c r="K588" s="16" t="s">
        <v>34</v>
      </c>
      <c r="L588" s="16" t="s">
        <v>160</v>
      </c>
      <c r="M588" s="16">
        <v>-1</v>
      </c>
      <c r="N588" s="14">
        <v>138</v>
      </c>
      <c r="O588" s="14">
        <v>158</v>
      </c>
      <c r="P588" s="14">
        <v>148</v>
      </c>
      <c r="Q588" s="14">
        <v>34</v>
      </c>
      <c r="R588" s="17" t="str">
        <f>IF(Cleaned_DS_jobs!$Q588&lt;10,"little_age_company",IF(AND(Cleaned_DS_jobs!$Q588&gt;=10,Cleaned_DS_jobs!$Q588&lt;=20),"average_age_company","Big_age_company"))</f>
        <v>Big_age_company</v>
      </c>
    </row>
    <row r="589" spans="1:18" ht="19.95" customHeight="1" x14ac:dyDescent="0.3">
      <c r="A589" s="18" t="s">
        <v>1702</v>
      </c>
      <c r="B589" s="19" t="s">
        <v>1729</v>
      </c>
      <c r="C589" s="19">
        <v>3.3</v>
      </c>
      <c r="D589" s="20" t="s">
        <v>2339</v>
      </c>
      <c r="E589" s="19" t="s">
        <v>1528</v>
      </c>
      <c r="F589" s="21" t="s">
        <v>1960</v>
      </c>
      <c r="G589" s="21" t="s">
        <v>20</v>
      </c>
      <c r="H589" s="19">
        <v>1996</v>
      </c>
      <c r="I589" s="21" t="s">
        <v>32</v>
      </c>
      <c r="J589" s="21" t="s">
        <v>139</v>
      </c>
      <c r="K589" s="21" t="s">
        <v>140</v>
      </c>
      <c r="L589" s="21" t="s">
        <v>35</v>
      </c>
      <c r="M589" s="21">
        <v>-1</v>
      </c>
      <c r="N589" s="19">
        <v>138</v>
      </c>
      <c r="O589" s="19">
        <v>158</v>
      </c>
      <c r="P589" s="19">
        <v>148</v>
      </c>
      <c r="Q589" s="19">
        <v>30</v>
      </c>
      <c r="R589" s="22" t="str">
        <f>IF(Cleaned_DS_jobs!$Q589&lt;10,"little_age_company",IF(AND(Cleaned_DS_jobs!$Q589&gt;=10,Cleaned_DS_jobs!$Q589&lt;=20),"average_age_company","Big_age_company"))</f>
        <v>Big_age_company</v>
      </c>
    </row>
    <row r="590" spans="1:18" ht="19.95" customHeight="1" x14ac:dyDescent="0.3">
      <c r="A590" s="13" t="s">
        <v>499</v>
      </c>
      <c r="B590" s="14" t="s">
        <v>1729</v>
      </c>
      <c r="C590" s="14">
        <v>2.9</v>
      </c>
      <c r="D590" s="15" t="s">
        <v>1977</v>
      </c>
      <c r="E590" s="14" t="s">
        <v>19</v>
      </c>
      <c r="F590" s="16" t="s">
        <v>1744</v>
      </c>
      <c r="G590" s="16" t="s">
        <v>52</v>
      </c>
      <c r="H590" s="14">
        <v>1998</v>
      </c>
      <c r="I590" s="16" t="s">
        <v>53</v>
      </c>
      <c r="J590" s="16" t="s">
        <v>54</v>
      </c>
      <c r="K590" s="16" t="s">
        <v>34</v>
      </c>
      <c r="L590" s="16" t="s">
        <v>24</v>
      </c>
      <c r="M590" s="16" t="s">
        <v>55</v>
      </c>
      <c r="N590" s="14">
        <v>138</v>
      </c>
      <c r="O590" s="14">
        <v>158</v>
      </c>
      <c r="P590" s="14">
        <v>148</v>
      </c>
      <c r="Q590" s="14">
        <v>28</v>
      </c>
      <c r="R590" s="17" t="str">
        <f>IF(Cleaned_DS_jobs!$Q590&lt;10,"little_age_company",IF(AND(Cleaned_DS_jobs!$Q590&gt;=10,Cleaned_DS_jobs!$Q590&lt;=20),"average_age_company","Big_age_company"))</f>
        <v>Big_age_company</v>
      </c>
    </row>
    <row r="591" spans="1:18" ht="19.95" customHeight="1" x14ac:dyDescent="0.3">
      <c r="A591" s="18" t="s">
        <v>1530</v>
      </c>
      <c r="B591" s="19" t="s">
        <v>1729</v>
      </c>
      <c r="C591" s="19">
        <v>3.8</v>
      </c>
      <c r="D591" s="20" t="s">
        <v>2340</v>
      </c>
      <c r="E591" s="19" t="s">
        <v>909</v>
      </c>
      <c r="F591" s="21" t="s">
        <v>1961</v>
      </c>
      <c r="G591" s="21" t="s">
        <v>66</v>
      </c>
      <c r="H591" s="19">
        <v>1949</v>
      </c>
      <c r="I591" s="21" t="s">
        <v>98</v>
      </c>
      <c r="J591" s="21" t="s">
        <v>118</v>
      </c>
      <c r="K591" s="21" t="s">
        <v>98</v>
      </c>
      <c r="L591" s="21" t="s">
        <v>79</v>
      </c>
      <c r="M591" s="21" t="s">
        <v>1534</v>
      </c>
      <c r="N591" s="19">
        <v>138</v>
      </c>
      <c r="O591" s="19">
        <v>158</v>
      </c>
      <c r="P591" s="19">
        <v>148</v>
      </c>
      <c r="Q591" s="19">
        <v>77</v>
      </c>
      <c r="R591" s="22" t="str">
        <f>IF(Cleaned_DS_jobs!$Q591&lt;10,"little_age_company",IF(AND(Cleaned_DS_jobs!$Q591&gt;=10,Cleaned_DS_jobs!$Q591&lt;=20),"average_age_company","Big_age_company"))</f>
        <v>Big_age_company</v>
      </c>
    </row>
    <row r="592" spans="1:18" ht="19.95" customHeight="1" x14ac:dyDescent="0.3">
      <c r="A592" s="13" t="s">
        <v>189</v>
      </c>
      <c r="B592" s="14" t="s">
        <v>1729</v>
      </c>
      <c r="C592" s="14">
        <v>3.5</v>
      </c>
      <c r="D592" s="15" t="s">
        <v>2071</v>
      </c>
      <c r="E592" s="14" t="s">
        <v>178</v>
      </c>
      <c r="F592" s="16" t="s">
        <v>1815</v>
      </c>
      <c r="G592" s="16" t="s">
        <v>31</v>
      </c>
      <c r="H592" s="14">
        <v>-1</v>
      </c>
      <c r="I592" s="16" t="s">
        <v>32</v>
      </c>
      <c r="J592" s="16" t="s">
        <v>175</v>
      </c>
      <c r="K592" s="16" t="s">
        <v>175</v>
      </c>
      <c r="L592" s="16" t="s">
        <v>79</v>
      </c>
      <c r="M592" s="16">
        <v>-1</v>
      </c>
      <c r="N592" s="14">
        <v>138</v>
      </c>
      <c r="O592" s="14">
        <v>158</v>
      </c>
      <c r="P592" s="14">
        <v>148</v>
      </c>
      <c r="Q592" s="14">
        <v>-1</v>
      </c>
      <c r="R592" s="17" t="str">
        <f>IF(Cleaned_DS_jobs!$Q592&lt;10,"little_age_company",IF(AND(Cleaned_DS_jobs!$Q592&gt;=10,Cleaned_DS_jobs!$Q592&lt;=20),"average_age_company","Big_age_company"))</f>
        <v>little_age_company</v>
      </c>
    </row>
    <row r="593" spans="1:18" ht="19.95" customHeight="1" x14ac:dyDescent="0.3">
      <c r="A593" s="18" t="s">
        <v>398</v>
      </c>
      <c r="B593" s="19" t="s">
        <v>1730</v>
      </c>
      <c r="C593" s="19">
        <v>4</v>
      </c>
      <c r="D593" s="20" t="s">
        <v>2047</v>
      </c>
      <c r="E593" s="19" t="s">
        <v>366</v>
      </c>
      <c r="F593" s="21" t="s">
        <v>1799</v>
      </c>
      <c r="G593" s="21" t="s">
        <v>66</v>
      </c>
      <c r="H593" s="19">
        <v>1913</v>
      </c>
      <c r="I593" s="21" t="s">
        <v>32</v>
      </c>
      <c r="J593" s="21" t="s">
        <v>67</v>
      </c>
      <c r="K593" s="21" t="s">
        <v>67</v>
      </c>
      <c r="L593" s="21" t="s">
        <v>68</v>
      </c>
      <c r="M593" s="21" t="s">
        <v>368</v>
      </c>
      <c r="N593" s="19">
        <v>80</v>
      </c>
      <c r="O593" s="19">
        <v>132</v>
      </c>
      <c r="P593" s="19">
        <v>106</v>
      </c>
      <c r="Q593" s="19">
        <v>113</v>
      </c>
      <c r="R593" s="22" t="str">
        <f>IF(Cleaned_DS_jobs!$Q593&lt;10,"little_age_company",IF(AND(Cleaned_DS_jobs!$Q593&gt;=10,Cleaned_DS_jobs!$Q593&lt;=20),"average_age_company","Big_age_company"))</f>
        <v>Big_age_company</v>
      </c>
    </row>
    <row r="594" spans="1:18" ht="19.95" customHeight="1" x14ac:dyDescent="0.3">
      <c r="A594" s="13" t="s">
        <v>240</v>
      </c>
      <c r="B594" s="14" t="s">
        <v>1730</v>
      </c>
      <c r="C594" s="14">
        <v>4</v>
      </c>
      <c r="D594" s="15" t="s">
        <v>2040</v>
      </c>
      <c r="E594" s="14" t="s">
        <v>143</v>
      </c>
      <c r="F594" s="16" t="s">
        <v>1792</v>
      </c>
      <c r="G594" s="16" t="s">
        <v>31</v>
      </c>
      <c r="H594" s="14">
        <v>1982</v>
      </c>
      <c r="I594" s="16" t="s">
        <v>32</v>
      </c>
      <c r="J594" s="16" t="s">
        <v>59</v>
      </c>
      <c r="K594" s="16" t="s">
        <v>60</v>
      </c>
      <c r="L594" s="16" t="s">
        <v>79</v>
      </c>
      <c r="M594" s="16">
        <v>-1</v>
      </c>
      <c r="N594" s="14">
        <v>80</v>
      </c>
      <c r="O594" s="14">
        <v>132</v>
      </c>
      <c r="P594" s="14">
        <v>106</v>
      </c>
      <c r="Q594" s="14">
        <v>44</v>
      </c>
      <c r="R594" s="17" t="str">
        <f>IF(Cleaned_DS_jobs!$Q594&lt;10,"little_age_company",IF(AND(Cleaned_DS_jobs!$Q594&gt;=10,Cleaned_DS_jobs!$Q594&lt;=20),"average_age_company","Big_age_company"))</f>
        <v>Big_age_company</v>
      </c>
    </row>
    <row r="595" spans="1:18" ht="19.95" customHeight="1" x14ac:dyDescent="0.3">
      <c r="A595" s="18" t="s">
        <v>26</v>
      </c>
      <c r="B595" s="19" t="s">
        <v>1730</v>
      </c>
      <c r="C595" s="19">
        <v>3.4</v>
      </c>
      <c r="D595" s="20" t="s">
        <v>2293</v>
      </c>
      <c r="E595" s="19" t="s">
        <v>1348</v>
      </c>
      <c r="F595" s="21" t="s">
        <v>1942</v>
      </c>
      <c r="G595" s="21" t="s">
        <v>20</v>
      </c>
      <c r="H595" s="19">
        <v>1998</v>
      </c>
      <c r="I595" s="21" t="s">
        <v>53</v>
      </c>
      <c r="J595" s="21" t="s">
        <v>1350</v>
      </c>
      <c r="K595" s="21" t="s">
        <v>1351</v>
      </c>
      <c r="L595" s="21" t="s">
        <v>41</v>
      </c>
      <c r="M595" s="21">
        <v>-1</v>
      </c>
      <c r="N595" s="19">
        <v>80</v>
      </c>
      <c r="O595" s="19">
        <v>132</v>
      </c>
      <c r="P595" s="19">
        <v>106</v>
      </c>
      <c r="Q595" s="19">
        <v>28</v>
      </c>
      <c r="R595" s="22" t="str">
        <f>IF(Cleaned_DS_jobs!$Q595&lt;10,"little_age_company",IF(AND(Cleaned_DS_jobs!$Q595&gt;=10,Cleaned_DS_jobs!$Q595&lt;=20),"average_age_company","Big_age_company"))</f>
        <v>Big_age_company</v>
      </c>
    </row>
    <row r="596" spans="1:18" ht="19.95" customHeight="1" x14ac:dyDescent="0.3">
      <c r="A596" s="13" t="s">
        <v>26</v>
      </c>
      <c r="B596" s="14" t="s">
        <v>1730</v>
      </c>
      <c r="C596" s="14">
        <v>3.9</v>
      </c>
      <c r="D596" s="15" t="s">
        <v>2208</v>
      </c>
      <c r="E596" s="14" t="s">
        <v>1538</v>
      </c>
      <c r="F596" s="16" t="s">
        <v>1900</v>
      </c>
      <c r="G596" s="16" t="s">
        <v>66</v>
      </c>
      <c r="H596" s="14">
        <v>1830</v>
      </c>
      <c r="I596" s="16" t="s">
        <v>32</v>
      </c>
      <c r="J596" s="16" t="s">
        <v>67</v>
      </c>
      <c r="K596" s="16" t="s">
        <v>67</v>
      </c>
      <c r="L596" s="16" t="s">
        <v>68</v>
      </c>
      <c r="M596" s="16" t="s">
        <v>1024</v>
      </c>
      <c r="N596" s="14">
        <v>80</v>
      </c>
      <c r="O596" s="14">
        <v>132</v>
      </c>
      <c r="P596" s="14">
        <v>106</v>
      </c>
      <c r="Q596" s="14">
        <v>196</v>
      </c>
      <c r="R596" s="17" t="str">
        <f>IF(Cleaned_DS_jobs!$Q596&lt;10,"little_age_company",IF(AND(Cleaned_DS_jobs!$Q596&gt;=10,Cleaned_DS_jobs!$Q596&lt;=20),"average_age_company","Big_age_company"))</f>
        <v>Big_age_company</v>
      </c>
    </row>
    <row r="597" spans="1:18" ht="19.95" customHeight="1" x14ac:dyDescent="0.3">
      <c r="A597" s="18" t="s">
        <v>26</v>
      </c>
      <c r="B597" s="19" t="s">
        <v>1730</v>
      </c>
      <c r="C597" s="19">
        <v>3.8</v>
      </c>
      <c r="D597" s="20" t="s">
        <v>2341</v>
      </c>
      <c r="E597" s="19" t="s">
        <v>111</v>
      </c>
      <c r="F597" s="21" t="s">
        <v>1962</v>
      </c>
      <c r="G597" s="21" t="s">
        <v>688</v>
      </c>
      <c r="H597" s="19">
        <v>1947</v>
      </c>
      <c r="I597" s="21" t="s">
        <v>98</v>
      </c>
      <c r="J597" s="21" t="s">
        <v>118</v>
      </c>
      <c r="K597" s="21" t="s">
        <v>98</v>
      </c>
      <c r="L597" s="21" t="s">
        <v>24</v>
      </c>
      <c r="M597" s="21">
        <v>-1</v>
      </c>
      <c r="N597" s="19">
        <v>80</v>
      </c>
      <c r="O597" s="19">
        <v>132</v>
      </c>
      <c r="P597" s="19">
        <v>106</v>
      </c>
      <c r="Q597" s="19">
        <v>79</v>
      </c>
      <c r="R597" s="22" t="str">
        <f>IF(Cleaned_DS_jobs!$Q597&lt;10,"little_age_company",IF(AND(Cleaned_DS_jobs!$Q597&gt;=10,Cleaned_DS_jobs!$Q597&lt;=20),"average_age_company","Big_age_company"))</f>
        <v>Big_age_company</v>
      </c>
    </row>
    <row r="598" spans="1:18" ht="19.95" customHeight="1" x14ac:dyDescent="0.3">
      <c r="A598" s="13" t="s">
        <v>26</v>
      </c>
      <c r="B598" s="14" t="s">
        <v>1730</v>
      </c>
      <c r="C598" s="14">
        <v>4.5</v>
      </c>
      <c r="D598" s="15" t="s">
        <v>2342</v>
      </c>
      <c r="E598" s="14" t="s">
        <v>83</v>
      </c>
      <c r="F598" s="16" t="s">
        <v>1752</v>
      </c>
      <c r="G598" s="16" t="s">
        <v>107</v>
      </c>
      <c r="H598" s="14">
        <v>2008</v>
      </c>
      <c r="I598" s="16" t="s">
        <v>53</v>
      </c>
      <c r="J598" s="16" t="s">
        <v>40</v>
      </c>
      <c r="K598" s="16" t="s">
        <v>34</v>
      </c>
      <c r="L598" s="16" t="s">
        <v>194</v>
      </c>
      <c r="M598" s="16">
        <v>-1</v>
      </c>
      <c r="N598" s="14">
        <v>80</v>
      </c>
      <c r="O598" s="14">
        <v>132</v>
      </c>
      <c r="P598" s="14">
        <v>106</v>
      </c>
      <c r="Q598" s="14">
        <v>18</v>
      </c>
      <c r="R598" s="17" t="str">
        <f>IF(Cleaned_DS_jobs!$Q598&lt;10,"little_age_company",IF(AND(Cleaned_DS_jobs!$Q598&gt;=10,Cleaned_DS_jobs!$Q598&lt;=20),"average_age_company","Big_age_company"))</f>
        <v>average_age_company</v>
      </c>
    </row>
    <row r="599" spans="1:18" ht="19.95" customHeight="1" x14ac:dyDescent="0.3">
      <c r="A599" s="18" t="s">
        <v>26</v>
      </c>
      <c r="B599" s="19" t="s">
        <v>1730</v>
      </c>
      <c r="C599" s="19">
        <v>4.3</v>
      </c>
      <c r="D599" s="20" t="s">
        <v>2343</v>
      </c>
      <c r="E599" s="19" t="s">
        <v>374</v>
      </c>
      <c r="F599" s="21" t="s">
        <v>1801</v>
      </c>
      <c r="G599" s="21" t="s">
        <v>52</v>
      </c>
      <c r="H599" s="19">
        <v>2009</v>
      </c>
      <c r="I599" s="21" t="s">
        <v>53</v>
      </c>
      <c r="J599" s="21" t="s">
        <v>54</v>
      </c>
      <c r="K599" s="21" t="s">
        <v>34</v>
      </c>
      <c r="L599" s="21" t="s">
        <v>160</v>
      </c>
      <c r="M599" s="21">
        <v>-1</v>
      </c>
      <c r="N599" s="19">
        <v>80</v>
      </c>
      <c r="O599" s="19">
        <v>132</v>
      </c>
      <c r="P599" s="19">
        <v>106</v>
      </c>
      <c r="Q599" s="19">
        <v>17</v>
      </c>
      <c r="R599" s="22" t="str">
        <f>IF(Cleaned_DS_jobs!$Q599&lt;10,"little_age_company",IF(AND(Cleaned_DS_jobs!$Q599&gt;=10,Cleaned_DS_jobs!$Q599&lt;=20),"average_age_company","Big_age_company"))</f>
        <v>average_age_company</v>
      </c>
    </row>
    <row r="600" spans="1:18" ht="19.95" customHeight="1" x14ac:dyDescent="0.3">
      <c r="A600" s="13" t="s">
        <v>26</v>
      </c>
      <c r="B600" s="14" t="s">
        <v>1730</v>
      </c>
      <c r="C600" s="14">
        <v>3.6</v>
      </c>
      <c r="D600" s="15" t="s">
        <v>2344</v>
      </c>
      <c r="E600" s="14" t="s">
        <v>1548</v>
      </c>
      <c r="F600" s="16" t="s">
        <v>1744</v>
      </c>
      <c r="G600" s="16" t="s">
        <v>117</v>
      </c>
      <c r="H600" s="14">
        <v>-1</v>
      </c>
      <c r="I600" s="16" t="s">
        <v>53</v>
      </c>
      <c r="J600" s="16" t="s">
        <v>1972</v>
      </c>
      <c r="K600" s="16" t="s">
        <v>1972</v>
      </c>
      <c r="L600" s="16" t="s">
        <v>24</v>
      </c>
      <c r="M600" s="16">
        <v>-1</v>
      </c>
      <c r="N600" s="14">
        <v>80</v>
      </c>
      <c r="O600" s="14">
        <v>132</v>
      </c>
      <c r="P600" s="14">
        <v>106</v>
      </c>
      <c r="Q600" s="14">
        <v>-1</v>
      </c>
      <c r="R600" s="17" t="str">
        <f>IF(Cleaned_DS_jobs!$Q600&lt;10,"little_age_company",IF(AND(Cleaned_DS_jobs!$Q600&gt;=10,Cleaned_DS_jobs!$Q600&lt;=20),"average_age_company","Big_age_company"))</f>
        <v>little_age_company</v>
      </c>
    </row>
    <row r="601" spans="1:18" ht="19.95" customHeight="1" x14ac:dyDescent="0.3">
      <c r="A601" s="18" t="s">
        <v>26</v>
      </c>
      <c r="B601" s="19" t="s">
        <v>1730</v>
      </c>
      <c r="C601" s="19">
        <v>2.9</v>
      </c>
      <c r="D601" s="20" t="s">
        <v>2345</v>
      </c>
      <c r="E601" s="19" t="s">
        <v>463</v>
      </c>
      <c r="F601" s="21" t="s">
        <v>1935</v>
      </c>
      <c r="G601" s="21" t="s">
        <v>66</v>
      </c>
      <c r="H601" s="19">
        <v>2005</v>
      </c>
      <c r="I601" s="21" t="s">
        <v>53</v>
      </c>
      <c r="J601" s="21" t="s">
        <v>139</v>
      </c>
      <c r="K601" s="21" t="s">
        <v>140</v>
      </c>
      <c r="L601" s="21" t="s">
        <v>24</v>
      </c>
      <c r="M601" s="21">
        <v>-1</v>
      </c>
      <c r="N601" s="19">
        <v>80</v>
      </c>
      <c r="O601" s="19">
        <v>132</v>
      </c>
      <c r="P601" s="19">
        <v>106</v>
      </c>
      <c r="Q601" s="19">
        <v>21</v>
      </c>
      <c r="R601" s="22" t="str">
        <f>IF(Cleaned_DS_jobs!$Q601&lt;10,"little_age_company",IF(AND(Cleaned_DS_jobs!$Q601&gt;=10,Cleaned_DS_jobs!$Q601&lt;=20),"average_age_company","Big_age_company"))</f>
        <v>Big_age_company</v>
      </c>
    </row>
    <row r="602" spans="1:18" ht="19.95" customHeight="1" x14ac:dyDescent="0.3">
      <c r="A602" s="13" t="s">
        <v>26</v>
      </c>
      <c r="B602" s="14" t="s">
        <v>1730</v>
      </c>
      <c r="C602" s="14">
        <v>2.9</v>
      </c>
      <c r="D602" s="15" t="s">
        <v>2295</v>
      </c>
      <c r="E602" s="14" t="s">
        <v>192</v>
      </c>
      <c r="F602" s="16" t="s">
        <v>1806</v>
      </c>
      <c r="G602" s="16" t="s">
        <v>107</v>
      </c>
      <c r="H602" s="14">
        <v>1985</v>
      </c>
      <c r="I602" s="16" t="s">
        <v>53</v>
      </c>
      <c r="J602" s="16" t="s">
        <v>92</v>
      </c>
      <c r="K602" s="16" t="s">
        <v>60</v>
      </c>
      <c r="L602" s="16" t="s">
        <v>41</v>
      </c>
      <c r="M602" s="16">
        <v>-1</v>
      </c>
      <c r="N602" s="14">
        <v>80</v>
      </c>
      <c r="O602" s="14">
        <v>132</v>
      </c>
      <c r="P602" s="14">
        <v>106</v>
      </c>
      <c r="Q602" s="14">
        <v>41</v>
      </c>
      <c r="R602" s="17" t="str">
        <f>IF(Cleaned_DS_jobs!$Q602&lt;10,"little_age_company",IF(AND(Cleaned_DS_jobs!$Q602&gt;=10,Cleaned_DS_jobs!$Q602&lt;=20),"average_age_company","Big_age_company"))</f>
        <v>Big_age_company</v>
      </c>
    </row>
    <row r="603" spans="1:18" ht="19.95" customHeight="1" x14ac:dyDescent="0.3">
      <c r="A603" s="18" t="s">
        <v>26</v>
      </c>
      <c r="B603" s="19" t="s">
        <v>1730</v>
      </c>
      <c r="C603" s="19">
        <v>3.2</v>
      </c>
      <c r="D603" s="20" t="s">
        <v>2346</v>
      </c>
      <c r="E603" s="19" t="s">
        <v>1553</v>
      </c>
      <c r="F603" s="21" t="s">
        <v>1924</v>
      </c>
      <c r="G603" s="21" t="s">
        <v>52</v>
      </c>
      <c r="H603" s="19">
        <v>2004</v>
      </c>
      <c r="I603" s="21" t="s">
        <v>53</v>
      </c>
      <c r="J603" s="21" t="s">
        <v>123</v>
      </c>
      <c r="K603" s="21" t="s">
        <v>60</v>
      </c>
      <c r="L603" s="21" t="s">
        <v>164</v>
      </c>
      <c r="M603" s="21">
        <v>-1</v>
      </c>
      <c r="N603" s="19">
        <v>80</v>
      </c>
      <c r="O603" s="19">
        <v>132</v>
      </c>
      <c r="P603" s="19">
        <v>106</v>
      </c>
      <c r="Q603" s="19">
        <v>22</v>
      </c>
      <c r="R603" s="22" t="str">
        <f>IF(Cleaned_DS_jobs!$Q603&lt;10,"little_age_company",IF(AND(Cleaned_DS_jobs!$Q603&gt;=10,Cleaned_DS_jobs!$Q603&lt;=20),"average_age_company","Big_age_company"))</f>
        <v>Big_age_company</v>
      </c>
    </row>
    <row r="604" spans="1:18" ht="19.95" customHeight="1" x14ac:dyDescent="0.3">
      <c r="A604" s="13" t="s">
        <v>1095</v>
      </c>
      <c r="B604" s="14" t="s">
        <v>1730</v>
      </c>
      <c r="C604" s="14">
        <v>4.5</v>
      </c>
      <c r="D604" s="15" t="s">
        <v>2226</v>
      </c>
      <c r="E604" s="14" t="s">
        <v>1098</v>
      </c>
      <c r="F604" s="16" t="s">
        <v>1911</v>
      </c>
      <c r="G604" s="16" t="s">
        <v>31</v>
      </c>
      <c r="H604" s="14">
        <v>1942</v>
      </c>
      <c r="I604" s="16" t="s">
        <v>21</v>
      </c>
      <c r="J604" s="16" t="s">
        <v>175</v>
      </c>
      <c r="K604" s="16" t="s">
        <v>175</v>
      </c>
      <c r="L604" s="16" t="s">
        <v>35</v>
      </c>
      <c r="M604" s="16" t="s">
        <v>1099</v>
      </c>
      <c r="N604" s="14">
        <v>80</v>
      </c>
      <c r="O604" s="14">
        <v>132</v>
      </c>
      <c r="P604" s="14">
        <v>106</v>
      </c>
      <c r="Q604" s="14">
        <v>84</v>
      </c>
      <c r="R604" s="17" t="str">
        <f>IF(Cleaned_DS_jobs!$Q604&lt;10,"little_age_company",IF(AND(Cleaned_DS_jobs!$Q604&gt;=10,Cleaned_DS_jobs!$Q604&lt;=20),"average_age_company","Big_age_company"))</f>
        <v>Big_age_company</v>
      </c>
    </row>
    <row r="605" spans="1:18" ht="19.95" customHeight="1" x14ac:dyDescent="0.3">
      <c r="A605" s="18" t="s">
        <v>1678</v>
      </c>
      <c r="B605" s="19" t="s">
        <v>1730</v>
      </c>
      <c r="C605" s="19">
        <v>5</v>
      </c>
      <c r="D605" s="20" t="s">
        <v>2137</v>
      </c>
      <c r="E605" s="19" t="s">
        <v>485</v>
      </c>
      <c r="F605" s="21" t="s">
        <v>1855</v>
      </c>
      <c r="G605" s="21" t="s">
        <v>117</v>
      </c>
      <c r="H605" s="19">
        <v>2011</v>
      </c>
      <c r="I605" s="21" t="s">
        <v>53</v>
      </c>
      <c r="J605" s="21" t="s">
        <v>92</v>
      </c>
      <c r="K605" s="21" t="s">
        <v>60</v>
      </c>
      <c r="L605" s="21" t="s">
        <v>212</v>
      </c>
      <c r="M605" s="21">
        <v>-1</v>
      </c>
      <c r="N605" s="19">
        <v>80</v>
      </c>
      <c r="O605" s="19">
        <v>132</v>
      </c>
      <c r="P605" s="19">
        <v>106</v>
      </c>
      <c r="Q605" s="19">
        <v>15</v>
      </c>
      <c r="R605" s="22" t="str">
        <f>IF(Cleaned_DS_jobs!$Q605&lt;10,"little_age_company",IF(AND(Cleaned_DS_jobs!$Q605&gt;=10,Cleaned_DS_jobs!$Q605&lt;=20),"average_age_company","Big_age_company"))</f>
        <v>average_age_company</v>
      </c>
    </row>
    <row r="606" spans="1:18" ht="19.95" customHeight="1" x14ac:dyDescent="0.3">
      <c r="A606" s="13" t="s">
        <v>26</v>
      </c>
      <c r="B606" s="14" t="s">
        <v>1730</v>
      </c>
      <c r="C606" s="14">
        <v>3.5</v>
      </c>
      <c r="D606" s="15" t="s">
        <v>2296</v>
      </c>
      <c r="E606" s="14" t="s">
        <v>1361</v>
      </c>
      <c r="F606" s="16" t="s">
        <v>1944</v>
      </c>
      <c r="G606" s="16" t="s">
        <v>117</v>
      </c>
      <c r="H606" s="14">
        <v>2010</v>
      </c>
      <c r="I606" s="16" t="s">
        <v>53</v>
      </c>
      <c r="J606" s="16" t="s">
        <v>139</v>
      </c>
      <c r="K606" s="16" t="s">
        <v>140</v>
      </c>
      <c r="L606" s="16" t="s">
        <v>212</v>
      </c>
      <c r="M606" s="16">
        <v>-1</v>
      </c>
      <c r="N606" s="14">
        <v>80</v>
      </c>
      <c r="O606" s="14">
        <v>132</v>
      </c>
      <c r="P606" s="14">
        <v>106</v>
      </c>
      <c r="Q606" s="14">
        <v>16</v>
      </c>
      <c r="R606" s="17" t="str">
        <f>IF(Cleaned_DS_jobs!$Q606&lt;10,"little_age_company",IF(AND(Cleaned_DS_jobs!$Q606&gt;=10,Cleaned_DS_jobs!$Q606&lt;=20),"average_age_company","Big_age_company"))</f>
        <v>average_age_company</v>
      </c>
    </row>
    <row r="607" spans="1:18" ht="19.95" customHeight="1" x14ac:dyDescent="0.3">
      <c r="A607" s="18" t="s">
        <v>26</v>
      </c>
      <c r="B607" s="19" t="s">
        <v>1730</v>
      </c>
      <c r="C607" s="19">
        <v>4</v>
      </c>
      <c r="D607" s="20" t="s">
        <v>2297</v>
      </c>
      <c r="E607" s="19" t="s">
        <v>19</v>
      </c>
      <c r="F607" s="21" t="s">
        <v>1945</v>
      </c>
      <c r="G607" s="21" t="s">
        <v>117</v>
      </c>
      <c r="H607" s="19">
        <v>-1</v>
      </c>
      <c r="I607" s="21" t="s">
        <v>53</v>
      </c>
      <c r="J607" s="21" t="s">
        <v>1252</v>
      </c>
      <c r="K607" s="21" t="s">
        <v>1253</v>
      </c>
      <c r="L607" s="21" t="s">
        <v>431</v>
      </c>
      <c r="M607" s="21">
        <v>-1</v>
      </c>
      <c r="N607" s="19">
        <v>80</v>
      </c>
      <c r="O607" s="19">
        <v>132</v>
      </c>
      <c r="P607" s="19">
        <v>106</v>
      </c>
      <c r="Q607" s="19">
        <v>-1</v>
      </c>
      <c r="R607" s="22" t="str">
        <f>IF(Cleaned_DS_jobs!$Q607&lt;10,"little_age_company",IF(AND(Cleaned_DS_jobs!$Q607&gt;=10,Cleaned_DS_jobs!$Q607&lt;=20),"average_age_company","Big_age_company"))</f>
        <v>little_age_company</v>
      </c>
    </row>
    <row r="608" spans="1:18" ht="19.95" customHeight="1" x14ac:dyDescent="0.3">
      <c r="A608" s="13" t="s">
        <v>26</v>
      </c>
      <c r="B608" s="14" t="s">
        <v>1730</v>
      </c>
      <c r="C608" s="14">
        <v>4.4000000000000004</v>
      </c>
      <c r="D608" s="15" t="s">
        <v>2347</v>
      </c>
      <c r="E608" s="14" t="s">
        <v>111</v>
      </c>
      <c r="F608" s="16" t="s">
        <v>1806</v>
      </c>
      <c r="G608" s="16" t="s">
        <v>52</v>
      </c>
      <c r="H608" s="14">
        <v>1997</v>
      </c>
      <c r="I608" s="16" t="s">
        <v>301</v>
      </c>
      <c r="J608" s="16" t="s">
        <v>84</v>
      </c>
      <c r="K608" s="16" t="s">
        <v>60</v>
      </c>
      <c r="L608" s="16" t="s">
        <v>41</v>
      </c>
      <c r="M608" s="16">
        <v>-1</v>
      </c>
      <c r="N608" s="14">
        <v>80</v>
      </c>
      <c r="O608" s="14">
        <v>132</v>
      </c>
      <c r="P608" s="14">
        <v>106</v>
      </c>
      <c r="Q608" s="14">
        <v>29</v>
      </c>
      <c r="R608" s="17" t="str">
        <f>IF(Cleaned_DS_jobs!$Q608&lt;10,"little_age_company",IF(AND(Cleaned_DS_jobs!$Q608&gt;=10,Cleaned_DS_jobs!$Q608&lt;=20),"average_age_company","Big_age_company"))</f>
        <v>Big_age_company</v>
      </c>
    </row>
    <row r="609" spans="1:18" ht="19.95" customHeight="1" x14ac:dyDescent="0.3">
      <c r="A609" s="18" t="s">
        <v>26</v>
      </c>
      <c r="B609" s="19" t="s">
        <v>1730</v>
      </c>
      <c r="C609" s="19">
        <v>4.2</v>
      </c>
      <c r="D609" s="20" t="s">
        <v>2348</v>
      </c>
      <c r="E609" s="19" t="s">
        <v>163</v>
      </c>
      <c r="F609" s="21" t="s">
        <v>1944</v>
      </c>
      <c r="G609" s="21" t="s">
        <v>66</v>
      </c>
      <c r="H609" s="19">
        <v>1999</v>
      </c>
      <c r="I609" s="21" t="s">
        <v>53</v>
      </c>
      <c r="J609" s="21" t="s">
        <v>92</v>
      </c>
      <c r="K609" s="21" t="s">
        <v>60</v>
      </c>
      <c r="L609" s="21" t="s">
        <v>35</v>
      </c>
      <c r="M609" s="21" t="s">
        <v>1558</v>
      </c>
      <c r="N609" s="19">
        <v>80</v>
      </c>
      <c r="O609" s="19">
        <v>132</v>
      </c>
      <c r="P609" s="19">
        <v>106</v>
      </c>
      <c r="Q609" s="19">
        <v>27</v>
      </c>
      <c r="R609" s="22" t="str">
        <f>IF(Cleaned_DS_jobs!$Q609&lt;10,"little_age_company",IF(AND(Cleaned_DS_jobs!$Q609&gt;=10,Cleaned_DS_jobs!$Q609&lt;=20),"average_age_company","Big_age_company"))</f>
        <v>Big_age_company</v>
      </c>
    </row>
    <row r="610" spans="1:18" ht="19.95" customHeight="1" x14ac:dyDescent="0.3">
      <c r="A610" s="13" t="s">
        <v>26</v>
      </c>
      <c r="B610" s="14" t="s">
        <v>1730</v>
      </c>
      <c r="C610" s="14">
        <v>3.2</v>
      </c>
      <c r="D610" s="15" t="s">
        <v>2349</v>
      </c>
      <c r="E610" s="14" t="s">
        <v>130</v>
      </c>
      <c r="F610" s="16" t="s">
        <v>1963</v>
      </c>
      <c r="G610" s="16" t="s">
        <v>117</v>
      </c>
      <c r="H610" s="14">
        <v>-1</v>
      </c>
      <c r="I610" s="16" t="s">
        <v>53</v>
      </c>
      <c r="J610" s="16" t="s">
        <v>40</v>
      </c>
      <c r="K610" s="16" t="s">
        <v>34</v>
      </c>
      <c r="L610" s="16" t="s">
        <v>212</v>
      </c>
      <c r="M610" s="16">
        <v>-1</v>
      </c>
      <c r="N610" s="14">
        <v>80</v>
      </c>
      <c r="O610" s="14">
        <v>132</v>
      </c>
      <c r="P610" s="14">
        <v>106</v>
      </c>
      <c r="Q610" s="14">
        <v>-1</v>
      </c>
      <c r="R610" s="17" t="str">
        <f>IF(Cleaned_DS_jobs!$Q610&lt;10,"little_age_company",IF(AND(Cleaned_DS_jobs!$Q610&gt;=10,Cleaned_DS_jobs!$Q610&lt;=20),"average_age_company","Big_age_company"))</f>
        <v>little_age_company</v>
      </c>
    </row>
    <row r="611" spans="1:18" ht="19.95" customHeight="1" x14ac:dyDescent="0.3">
      <c r="A611" s="18" t="s">
        <v>26</v>
      </c>
      <c r="B611" s="19" t="s">
        <v>1730</v>
      </c>
      <c r="C611" s="19">
        <v>3.4</v>
      </c>
      <c r="D611" s="20" t="s">
        <v>2350</v>
      </c>
      <c r="E611" s="19" t="s">
        <v>610</v>
      </c>
      <c r="F611" s="21" t="s">
        <v>1833</v>
      </c>
      <c r="G611" s="21" t="s">
        <v>52</v>
      </c>
      <c r="H611" s="19">
        <v>1985</v>
      </c>
      <c r="I611" s="21" t="s">
        <v>53</v>
      </c>
      <c r="J611" s="21" t="s">
        <v>175</v>
      </c>
      <c r="K611" s="21" t="s">
        <v>175</v>
      </c>
      <c r="L611" s="21" t="s">
        <v>164</v>
      </c>
      <c r="M611" s="21">
        <v>-1</v>
      </c>
      <c r="N611" s="19">
        <v>80</v>
      </c>
      <c r="O611" s="19">
        <v>132</v>
      </c>
      <c r="P611" s="19">
        <v>106</v>
      </c>
      <c r="Q611" s="19">
        <v>41</v>
      </c>
      <c r="R611" s="22" t="str">
        <f>IF(Cleaned_DS_jobs!$Q611&lt;10,"little_age_company",IF(AND(Cleaned_DS_jobs!$Q611&gt;=10,Cleaned_DS_jobs!$Q611&lt;=20),"average_age_company","Big_age_company"))</f>
        <v>Big_age_company</v>
      </c>
    </row>
    <row r="612" spans="1:18" ht="19.95" customHeight="1" x14ac:dyDescent="0.3">
      <c r="A612" s="13" t="s">
        <v>26</v>
      </c>
      <c r="B612" s="14" t="s">
        <v>1730</v>
      </c>
      <c r="C612" s="14">
        <v>4.7</v>
      </c>
      <c r="D612" s="15" t="s">
        <v>2299</v>
      </c>
      <c r="E612" s="14" t="s">
        <v>111</v>
      </c>
      <c r="F612" s="16" t="s">
        <v>1946</v>
      </c>
      <c r="G612" s="16" t="s">
        <v>117</v>
      </c>
      <c r="H612" s="14">
        <v>-1</v>
      </c>
      <c r="I612" s="16" t="s">
        <v>53</v>
      </c>
      <c r="J612" s="16" t="s">
        <v>1972</v>
      </c>
      <c r="K612" s="16" t="s">
        <v>1972</v>
      </c>
      <c r="L612" s="16" t="s">
        <v>212</v>
      </c>
      <c r="M612" s="16">
        <v>-1</v>
      </c>
      <c r="N612" s="14">
        <v>80</v>
      </c>
      <c r="O612" s="14">
        <v>132</v>
      </c>
      <c r="P612" s="14">
        <v>106</v>
      </c>
      <c r="Q612" s="14">
        <v>-1</v>
      </c>
      <c r="R612" s="17" t="str">
        <f>IF(Cleaned_DS_jobs!$Q612&lt;10,"little_age_company",IF(AND(Cleaned_DS_jobs!$Q612&gt;=10,Cleaned_DS_jobs!$Q612&lt;=20),"average_age_company","Big_age_company"))</f>
        <v>little_age_company</v>
      </c>
    </row>
    <row r="613" spans="1:18" ht="19.95" customHeight="1" x14ac:dyDescent="0.3">
      <c r="A613" s="18" t="s">
        <v>406</v>
      </c>
      <c r="B613" s="19" t="s">
        <v>1731</v>
      </c>
      <c r="C613" s="19">
        <v>3.6</v>
      </c>
      <c r="D613" s="20" t="s">
        <v>2057</v>
      </c>
      <c r="E613" s="19" t="s">
        <v>409</v>
      </c>
      <c r="F613" s="21" t="s">
        <v>1805</v>
      </c>
      <c r="G613" s="21" t="s">
        <v>107</v>
      </c>
      <c r="H613" s="19">
        <v>1997</v>
      </c>
      <c r="I613" s="21" t="s">
        <v>53</v>
      </c>
      <c r="J613" s="21" t="s">
        <v>411</v>
      </c>
      <c r="K613" s="21" t="s">
        <v>170</v>
      </c>
      <c r="L613" s="21" t="s">
        <v>24</v>
      </c>
      <c r="M613" s="21">
        <v>-1</v>
      </c>
      <c r="N613" s="19">
        <v>87</v>
      </c>
      <c r="O613" s="19">
        <v>141</v>
      </c>
      <c r="P613" s="19">
        <v>114</v>
      </c>
      <c r="Q613" s="19">
        <v>29</v>
      </c>
      <c r="R613" s="22" t="str">
        <f>IF(Cleaned_DS_jobs!$Q613&lt;10,"little_age_company",IF(AND(Cleaned_DS_jobs!$Q613&gt;=10,Cleaned_DS_jobs!$Q613&lt;=20),"average_age_company","Big_age_company"))</f>
        <v>Big_age_company</v>
      </c>
    </row>
    <row r="614" spans="1:18" ht="19.95" customHeight="1" x14ac:dyDescent="0.3">
      <c r="A614" s="13" t="s">
        <v>240</v>
      </c>
      <c r="B614" s="14" t="s">
        <v>1731</v>
      </c>
      <c r="C614" s="14">
        <v>4.2</v>
      </c>
      <c r="D614" s="15" t="s">
        <v>1974</v>
      </c>
      <c r="E614" s="14" t="s">
        <v>405</v>
      </c>
      <c r="F614" s="16" t="s">
        <v>1745</v>
      </c>
      <c r="G614" s="16" t="s">
        <v>31</v>
      </c>
      <c r="H614" s="14">
        <v>1968</v>
      </c>
      <c r="I614" s="16" t="s">
        <v>32</v>
      </c>
      <c r="J614" s="16" t="s">
        <v>33</v>
      </c>
      <c r="K614" s="16" t="s">
        <v>34</v>
      </c>
      <c r="L614" s="16" t="s">
        <v>35</v>
      </c>
      <c r="M614" s="16">
        <v>-1</v>
      </c>
      <c r="N614" s="14">
        <v>87</v>
      </c>
      <c r="O614" s="14">
        <v>141</v>
      </c>
      <c r="P614" s="14">
        <v>114</v>
      </c>
      <c r="Q614" s="14">
        <v>58</v>
      </c>
      <c r="R614" s="17" t="str">
        <f>IF(Cleaned_DS_jobs!$Q614&lt;10,"little_age_company",IF(AND(Cleaned_DS_jobs!$Q614&gt;=10,Cleaned_DS_jobs!$Q614&lt;=20),"average_age_company","Big_age_company"))</f>
        <v>Big_age_company</v>
      </c>
    </row>
    <row r="615" spans="1:18" ht="19.95" customHeight="1" x14ac:dyDescent="0.3">
      <c r="A615" s="18" t="s">
        <v>26</v>
      </c>
      <c r="B615" s="19" t="s">
        <v>1731</v>
      </c>
      <c r="C615" s="19">
        <v>-1</v>
      </c>
      <c r="D615" s="20" t="s">
        <v>1741</v>
      </c>
      <c r="E615" s="19" t="s">
        <v>1266</v>
      </c>
      <c r="F615" s="21">
        <v>-1</v>
      </c>
      <c r="G615" s="21" t="s">
        <v>1972</v>
      </c>
      <c r="H615" s="19">
        <v>-1</v>
      </c>
      <c r="I615" s="21" t="s">
        <v>1972</v>
      </c>
      <c r="J615" s="21" t="s">
        <v>1972</v>
      </c>
      <c r="K615" s="21" t="s">
        <v>1972</v>
      </c>
      <c r="L615" s="21" t="s">
        <v>1972</v>
      </c>
      <c r="M615" s="21">
        <v>-1</v>
      </c>
      <c r="N615" s="19">
        <v>87</v>
      </c>
      <c r="O615" s="19">
        <v>141</v>
      </c>
      <c r="P615" s="19">
        <v>114</v>
      </c>
      <c r="Q615" s="19">
        <v>-1</v>
      </c>
      <c r="R615" s="22" t="str">
        <f>IF(Cleaned_DS_jobs!$Q615&lt;10,"little_age_company",IF(AND(Cleaned_DS_jobs!$Q615&gt;=10,Cleaned_DS_jobs!$Q615&lt;=20),"average_age_company","Big_age_company"))</f>
        <v>little_age_company</v>
      </c>
    </row>
    <row r="616" spans="1:18" ht="19.95" customHeight="1" x14ac:dyDescent="0.3">
      <c r="A616" s="13" t="s">
        <v>26</v>
      </c>
      <c r="B616" s="14" t="s">
        <v>1731</v>
      </c>
      <c r="C616" s="14">
        <v>3.2</v>
      </c>
      <c r="D616" s="15" t="s">
        <v>2351</v>
      </c>
      <c r="E616" s="14" t="s">
        <v>1568</v>
      </c>
      <c r="F616" s="16" t="s">
        <v>1818</v>
      </c>
      <c r="G616" s="16" t="s">
        <v>66</v>
      </c>
      <c r="H616" s="14">
        <v>1853</v>
      </c>
      <c r="I616" s="16" t="s">
        <v>53</v>
      </c>
      <c r="J616" s="16" t="s">
        <v>22</v>
      </c>
      <c r="K616" s="16" t="s">
        <v>23</v>
      </c>
      <c r="L616" s="16" t="s">
        <v>68</v>
      </c>
      <c r="M616" s="16" t="s">
        <v>1569</v>
      </c>
      <c r="N616" s="14">
        <v>87</v>
      </c>
      <c r="O616" s="14">
        <v>141</v>
      </c>
      <c r="P616" s="14">
        <v>114</v>
      </c>
      <c r="Q616" s="14">
        <v>173</v>
      </c>
      <c r="R616" s="17" t="str">
        <f>IF(Cleaned_DS_jobs!$Q616&lt;10,"little_age_company",IF(AND(Cleaned_DS_jobs!$Q616&gt;=10,Cleaned_DS_jobs!$Q616&lt;=20),"average_age_company","Big_age_company"))</f>
        <v>Big_age_company</v>
      </c>
    </row>
    <row r="617" spans="1:18" ht="19.95" customHeight="1" x14ac:dyDescent="0.3">
      <c r="A617" s="18" t="s">
        <v>26</v>
      </c>
      <c r="B617" s="19" t="s">
        <v>1731</v>
      </c>
      <c r="C617" s="19">
        <v>-1</v>
      </c>
      <c r="D617" s="20" t="s">
        <v>1571</v>
      </c>
      <c r="E617" s="19" t="s">
        <v>1572</v>
      </c>
      <c r="F617" s="21" t="s">
        <v>1851</v>
      </c>
      <c r="G617" s="21" t="s">
        <v>688</v>
      </c>
      <c r="H617" s="19">
        <v>-1</v>
      </c>
      <c r="I617" s="21" t="s">
        <v>53</v>
      </c>
      <c r="J617" s="21" t="s">
        <v>1972</v>
      </c>
      <c r="K617" s="21" t="s">
        <v>1972</v>
      </c>
      <c r="L617" s="21" t="s">
        <v>24</v>
      </c>
      <c r="M617" s="21">
        <v>-1</v>
      </c>
      <c r="N617" s="19">
        <v>87</v>
      </c>
      <c r="O617" s="19">
        <v>141</v>
      </c>
      <c r="P617" s="19">
        <v>114</v>
      </c>
      <c r="Q617" s="19">
        <v>-1</v>
      </c>
      <c r="R617" s="22" t="str">
        <f>IF(Cleaned_DS_jobs!$Q617&lt;10,"little_age_company",IF(AND(Cleaned_DS_jobs!$Q617&gt;=10,Cleaned_DS_jobs!$Q617&lt;=20),"average_age_company","Big_age_company"))</f>
        <v>little_age_company</v>
      </c>
    </row>
    <row r="618" spans="1:18" ht="19.95" customHeight="1" x14ac:dyDescent="0.3">
      <c r="A618" s="13" t="s">
        <v>26</v>
      </c>
      <c r="B618" s="14" t="s">
        <v>1731</v>
      </c>
      <c r="C618" s="14">
        <v>2.8</v>
      </c>
      <c r="D618" s="15" t="s">
        <v>2352</v>
      </c>
      <c r="E618" s="14" t="s">
        <v>707</v>
      </c>
      <c r="F618" s="16" t="s">
        <v>1964</v>
      </c>
      <c r="G618" s="16" t="s">
        <v>20</v>
      </c>
      <c r="H618" s="14">
        <v>1983</v>
      </c>
      <c r="I618" s="16" t="s">
        <v>301</v>
      </c>
      <c r="J618" s="16" t="s">
        <v>1576</v>
      </c>
      <c r="K618" s="16" t="s">
        <v>281</v>
      </c>
      <c r="L618" s="16" t="s">
        <v>79</v>
      </c>
      <c r="M618" s="16">
        <v>-1</v>
      </c>
      <c r="N618" s="14">
        <v>87</v>
      </c>
      <c r="O618" s="14">
        <v>141</v>
      </c>
      <c r="P618" s="14">
        <v>114</v>
      </c>
      <c r="Q618" s="14">
        <v>43</v>
      </c>
      <c r="R618" s="17" t="str">
        <f>IF(Cleaned_DS_jobs!$Q618&lt;10,"little_age_company",IF(AND(Cleaned_DS_jobs!$Q618&gt;=10,Cleaned_DS_jobs!$Q618&lt;=20),"average_age_company","Big_age_company"))</f>
        <v>Big_age_company</v>
      </c>
    </row>
    <row r="619" spans="1:18" ht="19.95" customHeight="1" x14ac:dyDescent="0.3">
      <c r="A619" s="18" t="s">
        <v>26</v>
      </c>
      <c r="B619" s="19" t="s">
        <v>1731</v>
      </c>
      <c r="C619" s="19">
        <v>4.2</v>
      </c>
      <c r="D619" s="20" t="s">
        <v>2348</v>
      </c>
      <c r="E619" s="19" t="s">
        <v>163</v>
      </c>
      <c r="F619" s="21" t="s">
        <v>1944</v>
      </c>
      <c r="G619" s="21" t="s">
        <v>66</v>
      </c>
      <c r="H619" s="19">
        <v>1999</v>
      </c>
      <c r="I619" s="21" t="s">
        <v>53</v>
      </c>
      <c r="J619" s="21" t="s">
        <v>92</v>
      </c>
      <c r="K619" s="21" t="s">
        <v>60</v>
      </c>
      <c r="L619" s="21" t="s">
        <v>35</v>
      </c>
      <c r="M619" s="21" t="s">
        <v>1558</v>
      </c>
      <c r="N619" s="19">
        <v>87</v>
      </c>
      <c r="O619" s="19">
        <v>141</v>
      </c>
      <c r="P619" s="19">
        <v>114</v>
      </c>
      <c r="Q619" s="19">
        <v>27</v>
      </c>
      <c r="R619" s="22" t="str">
        <f>IF(Cleaned_DS_jobs!$Q619&lt;10,"little_age_company",IF(AND(Cleaned_DS_jobs!$Q619&gt;=10,Cleaned_DS_jobs!$Q619&lt;=20),"average_age_company","Big_age_company"))</f>
        <v>Big_age_company</v>
      </c>
    </row>
    <row r="620" spans="1:18" ht="19.95" customHeight="1" x14ac:dyDescent="0.3">
      <c r="A620" s="13" t="s">
        <v>26</v>
      </c>
      <c r="B620" s="14" t="s">
        <v>1731</v>
      </c>
      <c r="C620" s="14">
        <v>4.5</v>
      </c>
      <c r="D620" s="15" t="s">
        <v>2353</v>
      </c>
      <c r="E620" s="14" t="s">
        <v>405</v>
      </c>
      <c r="F620" s="16" t="s">
        <v>1833</v>
      </c>
      <c r="G620" s="16" t="s">
        <v>52</v>
      </c>
      <c r="H620" s="14">
        <v>2009</v>
      </c>
      <c r="I620" s="16" t="s">
        <v>53</v>
      </c>
      <c r="J620" s="16" t="s">
        <v>175</v>
      </c>
      <c r="K620" s="16" t="s">
        <v>175</v>
      </c>
      <c r="L620" s="16" t="s">
        <v>24</v>
      </c>
      <c r="M620" s="16">
        <v>-1</v>
      </c>
      <c r="N620" s="14">
        <v>87</v>
      </c>
      <c r="O620" s="14">
        <v>141</v>
      </c>
      <c r="P620" s="14">
        <v>114</v>
      </c>
      <c r="Q620" s="14">
        <v>17</v>
      </c>
      <c r="R620" s="17" t="str">
        <f>IF(Cleaned_DS_jobs!$Q620&lt;10,"little_age_company",IF(AND(Cleaned_DS_jobs!$Q620&gt;=10,Cleaned_DS_jobs!$Q620&lt;=20),"average_age_company","Big_age_company"))</f>
        <v>average_age_company</v>
      </c>
    </row>
    <row r="621" spans="1:18" ht="19.95" customHeight="1" x14ac:dyDescent="0.3">
      <c r="A621" s="18" t="s">
        <v>26</v>
      </c>
      <c r="B621" s="19" t="s">
        <v>1731</v>
      </c>
      <c r="C621" s="19">
        <v>3</v>
      </c>
      <c r="D621" s="20" t="s">
        <v>2354</v>
      </c>
      <c r="E621" s="19" t="s">
        <v>200</v>
      </c>
      <c r="F621" s="21" t="s">
        <v>1771</v>
      </c>
      <c r="G621" s="21" t="s">
        <v>52</v>
      </c>
      <c r="H621" s="19">
        <v>2006</v>
      </c>
      <c r="I621" s="21" t="s">
        <v>53</v>
      </c>
      <c r="J621" s="21" t="s">
        <v>40</v>
      </c>
      <c r="K621" s="21" t="s">
        <v>34</v>
      </c>
      <c r="L621" s="21" t="s">
        <v>160</v>
      </c>
      <c r="M621" s="21">
        <v>-1</v>
      </c>
      <c r="N621" s="19">
        <v>87</v>
      </c>
      <c r="O621" s="19">
        <v>141</v>
      </c>
      <c r="P621" s="19">
        <v>114</v>
      </c>
      <c r="Q621" s="19">
        <v>20</v>
      </c>
      <c r="R621" s="22" t="str">
        <f>IF(Cleaned_DS_jobs!$Q621&lt;10,"little_age_company",IF(AND(Cleaned_DS_jobs!$Q621&gt;=10,Cleaned_DS_jobs!$Q621&lt;=20),"average_age_company","Big_age_company"))</f>
        <v>average_age_company</v>
      </c>
    </row>
    <row r="622" spans="1:18" ht="19.95" customHeight="1" x14ac:dyDescent="0.3">
      <c r="A622" s="13" t="s">
        <v>26</v>
      </c>
      <c r="B622" s="14" t="s">
        <v>1731</v>
      </c>
      <c r="C622" s="14">
        <v>3.3</v>
      </c>
      <c r="D622" s="15" t="s">
        <v>2355</v>
      </c>
      <c r="E622" s="14" t="s">
        <v>192</v>
      </c>
      <c r="F622" s="16" t="s">
        <v>1826</v>
      </c>
      <c r="G622" s="16" t="s">
        <v>31</v>
      </c>
      <c r="H622" s="14">
        <v>1951</v>
      </c>
      <c r="I622" s="16" t="s">
        <v>32</v>
      </c>
      <c r="J622" s="16" t="s">
        <v>175</v>
      </c>
      <c r="K622" s="16" t="s">
        <v>175</v>
      </c>
      <c r="L622" s="16" t="s">
        <v>35</v>
      </c>
      <c r="M622" s="16" t="s">
        <v>1583</v>
      </c>
      <c r="N622" s="14">
        <v>87</v>
      </c>
      <c r="O622" s="14">
        <v>141</v>
      </c>
      <c r="P622" s="14">
        <v>114</v>
      </c>
      <c r="Q622" s="14">
        <v>75</v>
      </c>
      <c r="R622" s="17" t="str">
        <f>IF(Cleaned_DS_jobs!$Q622&lt;10,"little_age_company",IF(AND(Cleaned_DS_jobs!$Q622&gt;=10,Cleaned_DS_jobs!$Q622&lt;=20),"average_age_company","Big_age_company"))</f>
        <v>Big_age_company</v>
      </c>
    </row>
    <row r="623" spans="1:18" ht="19.95" customHeight="1" x14ac:dyDescent="0.3">
      <c r="A623" s="18" t="s">
        <v>26</v>
      </c>
      <c r="B623" s="19" t="s">
        <v>1731</v>
      </c>
      <c r="C623" s="19">
        <v>4</v>
      </c>
      <c r="D623" s="20" t="s">
        <v>2356</v>
      </c>
      <c r="E623" s="19" t="s">
        <v>1114</v>
      </c>
      <c r="F623" s="21" t="s">
        <v>1908</v>
      </c>
      <c r="G623" s="21" t="s">
        <v>117</v>
      </c>
      <c r="H623" s="19">
        <v>-1</v>
      </c>
      <c r="I623" s="21" t="s">
        <v>53</v>
      </c>
      <c r="J623" s="21" t="s">
        <v>1972</v>
      </c>
      <c r="K623" s="21" t="s">
        <v>1972</v>
      </c>
      <c r="L623" s="21" t="s">
        <v>431</v>
      </c>
      <c r="M623" s="21">
        <v>-1</v>
      </c>
      <c r="N623" s="19">
        <v>87</v>
      </c>
      <c r="O623" s="19">
        <v>141</v>
      </c>
      <c r="P623" s="19">
        <v>114</v>
      </c>
      <c r="Q623" s="19">
        <v>-1</v>
      </c>
      <c r="R623" s="22" t="str">
        <f>IF(Cleaned_DS_jobs!$Q623&lt;10,"little_age_company",IF(AND(Cleaned_DS_jobs!$Q623&gt;=10,Cleaned_DS_jobs!$Q623&lt;=20),"average_age_company","Big_age_company"))</f>
        <v>little_age_company</v>
      </c>
    </row>
    <row r="624" spans="1:18" ht="19.95" customHeight="1" x14ac:dyDescent="0.3">
      <c r="A624" s="13" t="s">
        <v>189</v>
      </c>
      <c r="B624" s="14" t="s">
        <v>1731</v>
      </c>
      <c r="C624" s="14">
        <v>3.5</v>
      </c>
      <c r="D624" s="15" t="s">
        <v>2357</v>
      </c>
      <c r="E624" s="14" t="s">
        <v>1588</v>
      </c>
      <c r="F624" s="16" t="s">
        <v>1965</v>
      </c>
      <c r="G624" s="16" t="s">
        <v>46</v>
      </c>
      <c r="H624" s="14">
        <v>2013</v>
      </c>
      <c r="I624" s="16" t="s">
        <v>53</v>
      </c>
      <c r="J624" s="16" t="s">
        <v>139</v>
      </c>
      <c r="K624" s="16" t="s">
        <v>140</v>
      </c>
      <c r="L624" s="16" t="s">
        <v>24</v>
      </c>
      <c r="M624" s="16">
        <v>-1</v>
      </c>
      <c r="N624" s="14">
        <v>87</v>
      </c>
      <c r="O624" s="14">
        <v>141</v>
      </c>
      <c r="P624" s="14">
        <v>114</v>
      </c>
      <c r="Q624" s="14">
        <v>13</v>
      </c>
      <c r="R624" s="17" t="str">
        <f>IF(Cleaned_DS_jobs!$Q624&lt;10,"little_age_company",IF(AND(Cleaned_DS_jobs!$Q624&gt;=10,Cleaned_DS_jobs!$Q624&lt;=20),"average_age_company","Big_age_company"))</f>
        <v>average_age_company</v>
      </c>
    </row>
    <row r="625" spans="1:18" ht="19.95" customHeight="1" x14ac:dyDescent="0.3">
      <c r="A625" s="18" t="s">
        <v>26</v>
      </c>
      <c r="B625" s="19" t="s">
        <v>1731</v>
      </c>
      <c r="C625" s="19">
        <v>3.5</v>
      </c>
      <c r="D625" s="20" t="s">
        <v>2358</v>
      </c>
      <c r="E625" s="19" t="s">
        <v>755</v>
      </c>
      <c r="F625" s="21" t="s">
        <v>1744</v>
      </c>
      <c r="G625" s="21" t="s">
        <v>117</v>
      </c>
      <c r="H625" s="19">
        <v>1998</v>
      </c>
      <c r="I625" s="21" t="s">
        <v>53</v>
      </c>
      <c r="J625" s="21" t="s">
        <v>40</v>
      </c>
      <c r="K625" s="21" t="s">
        <v>34</v>
      </c>
      <c r="L625" s="21" t="s">
        <v>194</v>
      </c>
      <c r="M625" s="21">
        <v>-1</v>
      </c>
      <c r="N625" s="19">
        <v>87</v>
      </c>
      <c r="O625" s="19">
        <v>141</v>
      </c>
      <c r="P625" s="19">
        <v>114</v>
      </c>
      <c r="Q625" s="19">
        <v>28</v>
      </c>
      <c r="R625" s="22" t="str">
        <f>IF(Cleaned_DS_jobs!$Q625&lt;10,"little_age_company",IF(AND(Cleaned_DS_jobs!$Q625&gt;=10,Cleaned_DS_jobs!$Q625&lt;=20),"average_age_company","Big_age_company"))</f>
        <v>Big_age_company</v>
      </c>
    </row>
    <row r="626" spans="1:18" ht="19.95" customHeight="1" x14ac:dyDescent="0.3">
      <c r="A626" s="13" t="s">
        <v>26</v>
      </c>
      <c r="B626" s="14" t="s">
        <v>1731</v>
      </c>
      <c r="C626" s="14">
        <v>3.6</v>
      </c>
      <c r="D626" s="15" t="s">
        <v>2359</v>
      </c>
      <c r="E626" s="14" t="s">
        <v>30</v>
      </c>
      <c r="F626" s="16" t="s">
        <v>1966</v>
      </c>
      <c r="G626" s="16" t="s">
        <v>52</v>
      </c>
      <c r="H626" s="14">
        <v>1990</v>
      </c>
      <c r="I626" s="16" t="s">
        <v>53</v>
      </c>
      <c r="J626" s="16" t="s">
        <v>59</v>
      </c>
      <c r="K626" s="16" t="s">
        <v>60</v>
      </c>
      <c r="L626" s="16" t="s">
        <v>160</v>
      </c>
      <c r="M626" s="16">
        <v>-1</v>
      </c>
      <c r="N626" s="14">
        <v>87</v>
      </c>
      <c r="O626" s="14">
        <v>141</v>
      </c>
      <c r="P626" s="14">
        <v>114</v>
      </c>
      <c r="Q626" s="14">
        <v>36</v>
      </c>
      <c r="R626" s="17" t="str">
        <f>IF(Cleaned_DS_jobs!$Q626&lt;10,"little_age_company",IF(AND(Cleaned_DS_jobs!$Q626&gt;=10,Cleaned_DS_jobs!$Q626&lt;=20),"average_age_company","Big_age_company"))</f>
        <v>Big_age_company</v>
      </c>
    </row>
    <row r="627" spans="1:18" ht="19.95" customHeight="1" x14ac:dyDescent="0.3">
      <c r="A627" s="18" t="s">
        <v>26</v>
      </c>
      <c r="B627" s="19" t="s">
        <v>1731</v>
      </c>
      <c r="C627" s="19">
        <v>3</v>
      </c>
      <c r="D627" s="20" t="s">
        <v>2360</v>
      </c>
      <c r="E627" s="19" t="s">
        <v>405</v>
      </c>
      <c r="F627" s="21" t="s">
        <v>1936</v>
      </c>
      <c r="G627" s="21" t="s">
        <v>52</v>
      </c>
      <c r="H627" s="19">
        <v>2012</v>
      </c>
      <c r="I627" s="21" t="s">
        <v>53</v>
      </c>
      <c r="J627" s="21" t="s">
        <v>84</v>
      </c>
      <c r="K627" s="21" t="s">
        <v>60</v>
      </c>
      <c r="L627" s="21" t="s">
        <v>24</v>
      </c>
      <c r="M627" s="21">
        <v>-1</v>
      </c>
      <c r="N627" s="19">
        <v>87</v>
      </c>
      <c r="O627" s="19">
        <v>141</v>
      </c>
      <c r="P627" s="19">
        <v>114</v>
      </c>
      <c r="Q627" s="19">
        <v>14</v>
      </c>
      <c r="R627" s="22" t="str">
        <f>IF(Cleaned_DS_jobs!$Q627&lt;10,"little_age_company",IF(AND(Cleaned_DS_jobs!$Q627&gt;=10,Cleaned_DS_jobs!$Q627&lt;=20),"average_age_company","Big_age_company"))</f>
        <v>average_age_company</v>
      </c>
    </row>
    <row r="628" spans="1:18" ht="19.95" customHeight="1" x14ac:dyDescent="0.3">
      <c r="A628" s="13" t="s">
        <v>1596</v>
      </c>
      <c r="B628" s="14" t="s">
        <v>1731</v>
      </c>
      <c r="C628" s="14">
        <v>4</v>
      </c>
      <c r="D628" s="15" t="s">
        <v>2073</v>
      </c>
      <c r="E628" s="14" t="s">
        <v>1598</v>
      </c>
      <c r="F628" s="16" t="s">
        <v>1806</v>
      </c>
      <c r="G628" s="16" t="s">
        <v>20</v>
      </c>
      <c r="H628" s="14">
        <v>1996</v>
      </c>
      <c r="I628" s="16" t="s">
        <v>21</v>
      </c>
      <c r="J628" s="16" t="s">
        <v>40</v>
      </c>
      <c r="K628" s="16" t="s">
        <v>34</v>
      </c>
      <c r="L628" s="16" t="s">
        <v>41</v>
      </c>
      <c r="M628" s="16" t="s">
        <v>479</v>
      </c>
      <c r="N628" s="14">
        <v>87</v>
      </c>
      <c r="O628" s="14">
        <v>141</v>
      </c>
      <c r="P628" s="14">
        <v>114</v>
      </c>
      <c r="Q628" s="14">
        <v>30</v>
      </c>
      <c r="R628" s="17" t="str">
        <f>IF(Cleaned_DS_jobs!$Q628&lt;10,"little_age_company",IF(AND(Cleaned_DS_jobs!$Q628&gt;=10,Cleaned_DS_jobs!$Q628&lt;=20),"average_age_company","Big_age_company"))</f>
        <v>Big_age_company</v>
      </c>
    </row>
    <row r="629" spans="1:18" ht="19.95" customHeight="1" x14ac:dyDescent="0.3">
      <c r="A629" s="18" t="s">
        <v>26</v>
      </c>
      <c r="B629" s="19" t="s">
        <v>1731</v>
      </c>
      <c r="C629" s="19">
        <v>4.5999999999999996</v>
      </c>
      <c r="D629" s="20" t="s">
        <v>2300</v>
      </c>
      <c r="E629" s="19" t="s">
        <v>1375</v>
      </c>
      <c r="F629" s="21" t="s">
        <v>1872</v>
      </c>
      <c r="G629" s="21" t="s">
        <v>117</v>
      </c>
      <c r="H629" s="19">
        <v>1988</v>
      </c>
      <c r="I629" s="21" t="s">
        <v>53</v>
      </c>
      <c r="J629" s="21" t="s">
        <v>286</v>
      </c>
      <c r="K629" s="21" t="s">
        <v>34</v>
      </c>
      <c r="L629" s="21" t="s">
        <v>160</v>
      </c>
      <c r="M629" s="21">
        <v>-1</v>
      </c>
      <c r="N629" s="19">
        <v>87</v>
      </c>
      <c r="O629" s="19">
        <v>141</v>
      </c>
      <c r="P629" s="19">
        <v>114</v>
      </c>
      <c r="Q629" s="19">
        <v>38</v>
      </c>
      <c r="R629" s="22" t="str">
        <f>IF(Cleaned_DS_jobs!$Q629&lt;10,"little_age_company",IF(AND(Cleaned_DS_jobs!$Q629&gt;=10,Cleaned_DS_jobs!$Q629&lt;=20),"average_age_company","Big_age_company"))</f>
        <v>Big_age_company</v>
      </c>
    </row>
    <row r="630" spans="1:18" ht="19.95" customHeight="1" x14ac:dyDescent="0.3">
      <c r="A630" s="13" t="s">
        <v>26</v>
      </c>
      <c r="B630" s="14" t="s">
        <v>1731</v>
      </c>
      <c r="C630" s="14">
        <v>4.3</v>
      </c>
      <c r="D630" s="15" t="s">
        <v>2361</v>
      </c>
      <c r="E630" s="14" t="s">
        <v>1601</v>
      </c>
      <c r="F630" s="16" t="s">
        <v>1967</v>
      </c>
      <c r="G630" s="16" t="s">
        <v>20</v>
      </c>
      <c r="H630" s="14">
        <v>2000</v>
      </c>
      <c r="I630" s="16" t="s">
        <v>53</v>
      </c>
      <c r="J630" s="16" t="s">
        <v>59</v>
      </c>
      <c r="K630" s="16" t="s">
        <v>60</v>
      </c>
      <c r="L630" s="16" t="s">
        <v>41</v>
      </c>
      <c r="M630" s="16">
        <v>-1</v>
      </c>
      <c r="N630" s="14">
        <v>87</v>
      </c>
      <c r="O630" s="14">
        <v>141</v>
      </c>
      <c r="P630" s="14">
        <v>114</v>
      </c>
      <c r="Q630" s="14">
        <v>26</v>
      </c>
      <c r="R630" s="17" t="str">
        <f>IF(Cleaned_DS_jobs!$Q630&lt;10,"little_age_company",IF(AND(Cleaned_DS_jobs!$Q630&gt;=10,Cleaned_DS_jobs!$Q630&lt;=20),"average_age_company","Big_age_company"))</f>
        <v>Big_age_company</v>
      </c>
    </row>
    <row r="631" spans="1:18" ht="19.95" customHeight="1" x14ac:dyDescent="0.3">
      <c r="A631" s="18" t="s">
        <v>26</v>
      </c>
      <c r="B631" s="19" t="s">
        <v>1731</v>
      </c>
      <c r="C631" s="19">
        <v>4.7</v>
      </c>
      <c r="D631" s="20" t="s">
        <v>2303</v>
      </c>
      <c r="E631" s="19" t="s">
        <v>83</v>
      </c>
      <c r="F631" s="21" t="s">
        <v>1948</v>
      </c>
      <c r="G631" s="21" t="s">
        <v>52</v>
      </c>
      <c r="H631" s="19">
        <v>1994</v>
      </c>
      <c r="I631" s="21" t="s">
        <v>53</v>
      </c>
      <c r="J631" s="21" t="s">
        <v>286</v>
      </c>
      <c r="K631" s="21" t="s">
        <v>34</v>
      </c>
      <c r="L631" s="21" t="s">
        <v>160</v>
      </c>
      <c r="M631" s="21">
        <v>-1</v>
      </c>
      <c r="N631" s="19">
        <v>87</v>
      </c>
      <c r="O631" s="19">
        <v>141</v>
      </c>
      <c r="P631" s="19">
        <v>114</v>
      </c>
      <c r="Q631" s="19">
        <v>32</v>
      </c>
      <c r="R631" s="22" t="str">
        <f>IF(Cleaned_DS_jobs!$Q631&lt;10,"little_age_company",IF(AND(Cleaned_DS_jobs!$Q631&gt;=10,Cleaned_DS_jobs!$Q631&lt;=20),"average_age_company","Big_age_company"))</f>
        <v>Big_age_company</v>
      </c>
    </row>
    <row r="632" spans="1:18" ht="19.95" customHeight="1" x14ac:dyDescent="0.3">
      <c r="A632" s="13" t="s">
        <v>26</v>
      </c>
      <c r="B632" s="14" t="s">
        <v>1731</v>
      </c>
      <c r="C632" s="14">
        <v>3.7</v>
      </c>
      <c r="D632" s="15" t="s">
        <v>2362</v>
      </c>
      <c r="E632" s="14" t="s">
        <v>652</v>
      </c>
      <c r="F632" s="16" t="s">
        <v>1782</v>
      </c>
      <c r="G632" s="16" t="s">
        <v>107</v>
      </c>
      <c r="H632" s="14">
        <v>2004</v>
      </c>
      <c r="I632" s="16" t="s">
        <v>53</v>
      </c>
      <c r="J632" s="16" t="s">
        <v>92</v>
      </c>
      <c r="K632" s="16" t="s">
        <v>60</v>
      </c>
      <c r="L632" s="16" t="s">
        <v>24</v>
      </c>
      <c r="M632" s="16">
        <v>-1</v>
      </c>
      <c r="N632" s="14">
        <v>87</v>
      </c>
      <c r="O632" s="14">
        <v>141</v>
      </c>
      <c r="P632" s="14">
        <v>114</v>
      </c>
      <c r="Q632" s="14">
        <v>22</v>
      </c>
      <c r="R632" s="17" t="str">
        <f>IF(Cleaned_DS_jobs!$Q632&lt;10,"little_age_company",IF(AND(Cleaned_DS_jobs!$Q632&gt;=10,Cleaned_DS_jobs!$Q632&lt;=20),"average_age_company","Big_age_company"))</f>
        <v>Big_age_company</v>
      </c>
    </row>
    <row r="633" spans="1:18" ht="19.95" customHeight="1" x14ac:dyDescent="0.3">
      <c r="A633" s="18" t="s">
        <v>1662</v>
      </c>
      <c r="B633" s="19" t="s">
        <v>1732</v>
      </c>
      <c r="C633" s="19">
        <v>3.9</v>
      </c>
      <c r="D633" s="20" t="s">
        <v>2055</v>
      </c>
      <c r="E633" s="19" t="s">
        <v>19</v>
      </c>
      <c r="F633" s="21" t="s">
        <v>1753</v>
      </c>
      <c r="G633" s="21" t="s">
        <v>66</v>
      </c>
      <c r="H633" s="19">
        <v>1911</v>
      </c>
      <c r="I633" s="21" t="s">
        <v>53</v>
      </c>
      <c r="J633" s="21" t="s">
        <v>397</v>
      </c>
      <c r="K633" s="21" t="s">
        <v>48</v>
      </c>
      <c r="L633" s="21" t="s">
        <v>68</v>
      </c>
      <c r="M633" s="21">
        <v>-1</v>
      </c>
      <c r="N633" s="19">
        <v>92</v>
      </c>
      <c r="O633" s="19">
        <v>155</v>
      </c>
      <c r="P633" s="19">
        <v>123.5</v>
      </c>
      <c r="Q633" s="19">
        <v>115</v>
      </c>
      <c r="R633" s="22" t="str">
        <f>IF(Cleaned_DS_jobs!$Q633&lt;10,"little_age_company",IF(AND(Cleaned_DS_jobs!$Q633&gt;=10,Cleaned_DS_jobs!$Q633&lt;=20),"average_age_company","Big_age_company"))</f>
        <v>Big_age_company</v>
      </c>
    </row>
    <row r="634" spans="1:18" ht="19.95" customHeight="1" x14ac:dyDescent="0.3">
      <c r="A634" s="13" t="s">
        <v>26</v>
      </c>
      <c r="B634" s="14" t="s">
        <v>1732</v>
      </c>
      <c r="C634" s="14">
        <v>4.9000000000000004</v>
      </c>
      <c r="D634" s="15" t="s">
        <v>2061</v>
      </c>
      <c r="E634" s="14" t="s">
        <v>429</v>
      </c>
      <c r="F634" s="16" t="s">
        <v>1808</v>
      </c>
      <c r="G634" s="16" t="s">
        <v>117</v>
      </c>
      <c r="H634" s="14">
        <v>2013</v>
      </c>
      <c r="I634" s="16" t="s">
        <v>53</v>
      </c>
      <c r="J634" s="16" t="s">
        <v>84</v>
      </c>
      <c r="K634" s="16" t="s">
        <v>60</v>
      </c>
      <c r="L634" s="16" t="s">
        <v>431</v>
      </c>
      <c r="M634" s="16">
        <v>-1</v>
      </c>
      <c r="N634" s="14">
        <v>92</v>
      </c>
      <c r="O634" s="14">
        <v>155</v>
      </c>
      <c r="P634" s="14">
        <v>123.5</v>
      </c>
      <c r="Q634" s="14">
        <v>13</v>
      </c>
      <c r="R634" s="17" t="str">
        <f>IF(Cleaned_DS_jobs!$Q634&lt;10,"little_age_company",IF(AND(Cleaned_DS_jobs!$Q634&gt;=10,Cleaned_DS_jobs!$Q634&lt;=20),"average_age_company","Big_age_company"))</f>
        <v>average_age_company</v>
      </c>
    </row>
    <row r="635" spans="1:18" ht="19.95" customHeight="1" x14ac:dyDescent="0.3">
      <c r="A635" s="18" t="s">
        <v>26</v>
      </c>
      <c r="B635" s="19" t="s">
        <v>1732</v>
      </c>
      <c r="C635" s="19">
        <v>3</v>
      </c>
      <c r="D635" s="20" t="s">
        <v>2363</v>
      </c>
      <c r="E635" s="19" t="s">
        <v>193</v>
      </c>
      <c r="F635" s="21" t="s">
        <v>1888</v>
      </c>
      <c r="G635" s="21" t="s">
        <v>52</v>
      </c>
      <c r="H635" s="19">
        <v>-1</v>
      </c>
      <c r="I635" s="21" t="s">
        <v>53</v>
      </c>
      <c r="J635" s="21" t="s">
        <v>40</v>
      </c>
      <c r="K635" s="21" t="s">
        <v>34</v>
      </c>
      <c r="L635" s="21" t="s">
        <v>403</v>
      </c>
      <c r="M635" s="21">
        <v>-1</v>
      </c>
      <c r="N635" s="19">
        <v>92</v>
      </c>
      <c r="O635" s="19">
        <v>155</v>
      </c>
      <c r="P635" s="19">
        <v>123.5</v>
      </c>
      <c r="Q635" s="19">
        <v>-1</v>
      </c>
      <c r="R635" s="22" t="str">
        <f>IF(Cleaned_DS_jobs!$Q635&lt;10,"little_age_company",IF(AND(Cleaned_DS_jobs!$Q635&gt;=10,Cleaned_DS_jobs!$Q635&lt;=20),"average_age_company","Big_age_company"))</f>
        <v>little_age_company</v>
      </c>
    </row>
    <row r="636" spans="1:18" ht="19.95" customHeight="1" x14ac:dyDescent="0.3">
      <c r="A636" s="13" t="s">
        <v>26</v>
      </c>
      <c r="B636" s="14" t="s">
        <v>1732</v>
      </c>
      <c r="C636" s="14">
        <v>2.5</v>
      </c>
      <c r="D636" s="15" t="s">
        <v>2364</v>
      </c>
      <c r="E636" s="14" t="s">
        <v>1014</v>
      </c>
      <c r="F636" s="16" t="s">
        <v>1899</v>
      </c>
      <c r="G636" s="16" t="s">
        <v>31</v>
      </c>
      <c r="H636" s="14">
        <v>1954</v>
      </c>
      <c r="I636" s="16" t="s">
        <v>53</v>
      </c>
      <c r="J636" s="16" t="s">
        <v>1431</v>
      </c>
      <c r="K636" s="16" t="s">
        <v>34</v>
      </c>
      <c r="L636" s="16" t="s">
        <v>24</v>
      </c>
      <c r="M636" s="16" t="s">
        <v>1610</v>
      </c>
      <c r="N636" s="14">
        <v>92</v>
      </c>
      <c r="O636" s="14">
        <v>155</v>
      </c>
      <c r="P636" s="14">
        <v>123.5</v>
      </c>
      <c r="Q636" s="14">
        <v>72</v>
      </c>
      <c r="R636" s="17" t="str">
        <f>IF(Cleaned_DS_jobs!$Q636&lt;10,"little_age_company",IF(AND(Cleaned_DS_jobs!$Q636&gt;=10,Cleaned_DS_jobs!$Q636&lt;=20),"average_age_company","Big_age_company"))</f>
        <v>Big_age_company</v>
      </c>
    </row>
    <row r="637" spans="1:18" ht="19.95" customHeight="1" x14ac:dyDescent="0.3">
      <c r="A637" s="18" t="s">
        <v>26</v>
      </c>
      <c r="B637" s="19" t="s">
        <v>1732</v>
      </c>
      <c r="C637" s="19">
        <v>3.5</v>
      </c>
      <c r="D637" s="20" t="s">
        <v>2304</v>
      </c>
      <c r="E637" s="19" t="s">
        <v>143</v>
      </c>
      <c r="F637" s="21" t="s">
        <v>1763</v>
      </c>
      <c r="G637" s="21" t="s">
        <v>52</v>
      </c>
      <c r="H637" s="19">
        <v>1998</v>
      </c>
      <c r="I637" s="21" t="s">
        <v>53</v>
      </c>
      <c r="J637" s="21" t="s">
        <v>40</v>
      </c>
      <c r="K637" s="21" t="s">
        <v>34</v>
      </c>
      <c r="L637" s="21" t="s">
        <v>164</v>
      </c>
      <c r="M637" s="21">
        <v>-1</v>
      </c>
      <c r="N637" s="19">
        <v>92</v>
      </c>
      <c r="O637" s="19">
        <v>155</v>
      </c>
      <c r="P637" s="19">
        <v>123.5</v>
      </c>
      <c r="Q637" s="19">
        <v>28</v>
      </c>
      <c r="R637" s="22" t="str">
        <f>IF(Cleaned_DS_jobs!$Q637&lt;10,"little_age_company",IF(AND(Cleaned_DS_jobs!$Q637&gt;=10,Cleaned_DS_jobs!$Q637&lt;=20),"average_age_company","Big_age_company"))</f>
        <v>Big_age_company</v>
      </c>
    </row>
    <row r="638" spans="1:18" ht="19.95" customHeight="1" x14ac:dyDescent="0.3">
      <c r="A638" s="13" t="s">
        <v>1679</v>
      </c>
      <c r="B638" s="14" t="s">
        <v>1732</v>
      </c>
      <c r="C638" s="14">
        <v>5</v>
      </c>
      <c r="D638" s="15" t="s">
        <v>2137</v>
      </c>
      <c r="E638" s="14" t="s">
        <v>755</v>
      </c>
      <c r="F638" s="16" t="s">
        <v>1855</v>
      </c>
      <c r="G638" s="16" t="s">
        <v>117</v>
      </c>
      <c r="H638" s="14">
        <v>2011</v>
      </c>
      <c r="I638" s="16" t="s">
        <v>53</v>
      </c>
      <c r="J638" s="16" t="s">
        <v>92</v>
      </c>
      <c r="K638" s="16" t="s">
        <v>60</v>
      </c>
      <c r="L638" s="16" t="s">
        <v>212</v>
      </c>
      <c r="M638" s="16">
        <v>-1</v>
      </c>
      <c r="N638" s="14">
        <v>92</v>
      </c>
      <c r="O638" s="14">
        <v>155</v>
      </c>
      <c r="P638" s="14">
        <v>123.5</v>
      </c>
      <c r="Q638" s="14">
        <v>15</v>
      </c>
      <c r="R638" s="17" t="str">
        <f>IF(Cleaned_DS_jobs!$Q638&lt;10,"little_age_company",IF(AND(Cleaned_DS_jobs!$Q638&gt;=10,Cleaned_DS_jobs!$Q638&lt;=20),"average_age_company","Big_age_company"))</f>
        <v>average_age_company</v>
      </c>
    </row>
    <row r="639" spans="1:18" ht="19.95" customHeight="1" x14ac:dyDescent="0.3">
      <c r="A639" s="18" t="s">
        <v>26</v>
      </c>
      <c r="B639" s="19" t="s">
        <v>1732</v>
      </c>
      <c r="C639" s="19">
        <v>-1</v>
      </c>
      <c r="D639" s="20" t="s">
        <v>1382</v>
      </c>
      <c r="E639" s="19" t="s">
        <v>29</v>
      </c>
      <c r="F639" s="21">
        <v>-1</v>
      </c>
      <c r="G639" s="21" t="s">
        <v>117</v>
      </c>
      <c r="H639" s="19">
        <v>-1</v>
      </c>
      <c r="I639" s="21" t="s">
        <v>688</v>
      </c>
      <c r="J639" s="21" t="s">
        <v>1972</v>
      </c>
      <c r="K639" s="21" t="s">
        <v>1972</v>
      </c>
      <c r="L639" s="21" t="s">
        <v>24</v>
      </c>
      <c r="M639" s="21">
        <v>-1</v>
      </c>
      <c r="N639" s="19">
        <v>92</v>
      </c>
      <c r="O639" s="19">
        <v>155</v>
      </c>
      <c r="P639" s="19">
        <v>123.5</v>
      </c>
      <c r="Q639" s="19">
        <v>-1</v>
      </c>
      <c r="R639" s="22" t="str">
        <f>IF(Cleaned_DS_jobs!$Q639&lt;10,"little_age_company",IF(AND(Cleaned_DS_jobs!$Q639&gt;=10,Cleaned_DS_jobs!$Q639&lt;=20),"average_age_company","Big_age_company"))</f>
        <v>little_age_company</v>
      </c>
    </row>
    <row r="640" spans="1:18" ht="19.95" customHeight="1" x14ac:dyDescent="0.3">
      <c r="A640" s="13" t="s">
        <v>240</v>
      </c>
      <c r="B640" s="14" t="s">
        <v>1732</v>
      </c>
      <c r="C640" s="14">
        <v>3.5</v>
      </c>
      <c r="D640" s="15" t="s">
        <v>2071</v>
      </c>
      <c r="E640" s="14" t="s">
        <v>30</v>
      </c>
      <c r="F640" s="16" t="s">
        <v>1815</v>
      </c>
      <c r="G640" s="16" t="s">
        <v>31</v>
      </c>
      <c r="H640" s="14">
        <v>-1</v>
      </c>
      <c r="I640" s="16" t="s">
        <v>32</v>
      </c>
      <c r="J640" s="16" t="s">
        <v>175</v>
      </c>
      <c r="K640" s="16" t="s">
        <v>175</v>
      </c>
      <c r="L640" s="16" t="s">
        <v>79</v>
      </c>
      <c r="M640" s="16">
        <v>-1</v>
      </c>
      <c r="N640" s="14">
        <v>92</v>
      </c>
      <c r="O640" s="14">
        <v>155</v>
      </c>
      <c r="P640" s="14">
        <v>123.5</v>
      </c>
      <c r="Q640" s="14">
        <v>-1</v>
      </c>
      <c r="R640" s="17" t="str">
        <f>IF(Cleaned_DS_jobs!$Q640&lt;10,"little_age_company",IF(AND(Cleaned_DS_jobs!$Q640&gt;=10,Cleaned_DS_jobs!$Q640&lt;=20),"average_age_company","Big_age_company"))</f>
        <v>little_age_company</v>
      </c>
    </row>
    <row r="641" spans="1:18" ht="19.95" customHeight="1" x14ac:dyDescent="0.3">
      <c r="A641" s="18" t="s">
        <v>26</v>
      </c>
      <c r="B641" s="19" t="s">
        <v>1732</v>
      </c>
      <c r="C641" s="19">
        <v>3</v>
      </c>
      <c r="D641" s="20" t="s">
        <v>2365</v>
      </c>
      <c r="E641" s="19" t="s">
        <v>200</v>
      </c>
      <c r="F641" s="21" t="s">
        <v>1968</v>
      </c>
      <c r="G641" s="21" t="s">
        <v>52</v>
      </c>
      <c r="H641" s="19">
        <v>1999</v>
      </c>
      <c r="I641" s="21" t="s">
        <v>53</v>
      </c>
      <c r="J641" s="21" t="s">
        <v>84</v>
      </c>
      <c r="K641" s="21" t="s">
        <v>60</v>
      </c>
      <c r="L641" s="21" t="s">
        <v>24</v>
      </c>
      <c r="M641" s="21" t="s">
        <v>1614</v>
      </c>
      <c r="N641" s="19">
        <v>92</v>
      </c>
      <c r="O641" s="19">
        <v>155</v>
      </c>
      <c r="P641" s="19">
        <v>123.5</v>
      </c>
      <c r="Q641" s="19">
        <v>27</v>
      </c>
      <c r="R641" s="22" t="str">
        <f>IF(Cleaned_DS_jobs!$Q641&lt;10,"little_age_company",IF(AND(Cleaned_DS_jobs!$Q641&gt;=10,Cleaned_DS_jobs!$Q641&lt;=20),"average_age_company","Big_age_company"))</f>
        <v>Big_age_company</v>
      </c>
    </row>
    <row r="642" spans="1:18" ht="19.95" customHeight="1" x14ac:dyDescent="0.3">
      <c r="A642" s="13" t="s">
        <v>1695</v>
      </c>
      <c r="B642" s="14" t="s">
        <v>1732</v>
      </c>
      <c r="C642" s="14">
        <v>5</v>
      </c>
      <c r="D642" s="15" t="s">
        <v>2307</v>
      </c>
      <c r="E642" s="14" t="s">
        <v>19</v>
      </c>
      <c r="F642" s="16" t="s">
        <v>1949</v>
      </c>
      <c r="G642" s="16" t="s">
        <v>117</v>
      </c>
      <c r="H642" s="14">
        <v>1987</v>
      </c>
      <c r="I642" s="16" t="s">
        <v>53</v>
      </c>
      <c r="J642" s="16" t="s">
        <v>286</v>
      </c>
      <c r="K642" s="16" t="s">
        <v>34</v>
      </c>
      <c r="L642" s="16" t="s">
        <v>24</v>
      </c>
      <c r="M642" s="16">
        <v>-1</v>
      </c>
      <c r="N642" s="14">
        <v>92</v>
      </c>
      <c r="O642" s="14">
        <v>155</v>
      </c>
      <c r="P642" s="14">
        <v>123.5</v>
      </c>
      <c r="Q642" s="14">
        <v>39</v>
      </c>
      <c r="R642" s="17" t="str">
        <f>IF(Cleaned_DS_jobs!$Q642&lt;10,"little_age_company",IF(AND(Cleaned_DS_jobs!$Q642&gt;=10,Cleaned_DS_jobs!$Q642&lt;=20),"average_age_company","Big_age_company"))</f>
        <v>Big_age_company</v>
      </c>
    </row>
    <row r="643" spans="1:18" ht="19.95" customHeight="1" x14ac:dyDescent="0.3">
      <c r="A643" s="18" t="s">
        <v>26</v>
      </c>
      <c r="B643" s="19" t="s">
        <v>1732</v>
      </c>
      <c r="C643" s="19">
        <v>4.7</v>
      </c>
      <c r="D643" s="20" t="s">
        <v>2366</v>
      </c>
      <c r="E643" s="19" t="s">
        <v>83</v>
      </c>
      <c r="F643" s="21" t="s">
        <v>1899</v>
      </c>
      <c r="G643" s="21" t="s">
        <v>52</v>
      </c>
      <c r="H643" s="19">
        <v>-1</v>
      </c>
      <c r="I643" s="21" t="s">
        <v>53</v>
      </c>
      <c r="J643" s="21" t="s">
        <v>92</v>
      </c>
      <c r="K643" s="21" t="s">
        <v>60</v>
      </c>
      <c r="L643" s="21" t="s">
        <v>24</v>
      </c>
      <c r="M643" s="21">
        <v>-1</v>
      </c>
      <c r="N643" s="19">
        <v>92</v>
      </c>
      <c r="O643" s="19">
        <v>155</v>
      </c>
      <c r="P643" s="19">
        <v>123.5</v>
      </c>
      <c r="Q643" s="19">
        <v>-1</v>
      </c>
      <c r="R643" s="22" t="str">
        <f>IF(Cleaned_DS_jobs!$Q643&lt;10,"little_age_company",IF(AND(Cleaned_DS_jobs!$Q643&gt;=10,Cleaned_DS_jobs!$Q643&lt;=20),"average_age_company","Big_age_company"))</f>
        <v>little_age_company</v>
      </c>
    </row>
    <row r="644" spans="1:18" ht="19.95" customHeight="1" x14ac:dyDescent="0.3">
      <c r="A644" s="13" t="s">
        <v>189</v>
      </c>
      <c r="B644" s="14" t="s">
        <v>1732</v>
      </c>
      <c r="C644" s="14">
        <v>3.3</v>
      </c>
      <c r="D644" s="15" t="s">
        <v>2367</v>
      </c>
      <c r="E644" s="14" t="s">
        <v>1239</v>
      </c>
      <c r="F644" s="16" t="s">
        <v>1927</v>
      </c>
      <c r="G644" s="16" t="s">
        <v>107</v>
      </c>
      <c r="H644" s="14">
        <v>1992</v>
      </c>
      <c r="I644" s="16" t="s">
        <v>53</v>
      </c>
      <c r="J644" s="16" t="s">
        <v>22</v>
      </c>
      <c r="K644" s="16" t="s">
        <v>23</v>
      </c>
      <c r="L644" s="16" t="s">
        <v>41</v>
      </c>
      <c r="M644" s="16">
        <v>-1</v>
      </c>
      <c r="N644" s="14">
        <v>92</v>
      </c>
      <c r="O644" s="14">
        <v>155</v>
      </c>
      <c r="P644" s="14">
        <v>123.5</v>
      </c>
      <c r="Q644" s="14">
        <v>34</v>
      </c>
      <c r="R644" s="17" t="str">
        <f>IF(Cleaned_DS_jobs!$Q644&lt;10,"little_age_company",IF(AND(Cleaned_DS_jobs!$Q644&gt;=10,Cleaned_DS_jobs!$Q644&lt;=20),"average_age_company","Big_age_company"))</f>
        <v>Big_age_company</v>
      </c>
    </row>
    <row r="645" spans="1:18" ht="19.95" customHeight="1" x14ac:dyDescent="0.3">
      <c r="A645" s="18" t="s">
        <v>26</v>
      </c>
      <c r="B645" s="19" t="s">
        <v>1732</v>
      </c>
      <c r="C645" s="19">
        <v>3.3</v>
      </c>
      <c r="D645" s="20" t="s">
        <v>2368</v>
      </c>
      <c r="E645" s="19" t="s">
        <v>848</v>
      </c>
      <c r="F645" s="21" t="s">
        <v>1872</v>
      </c>
      <c r="G645" s="21" t="s">
        <v>20</v>
      </c>
      <c r="H645" s="19">
        <v>1974</v>
      </c>
      <c r="I645" s="21" t="s">
        <v>53</v>
      </c>
      <c r="J645" s="21" t="s">
        <v>22</v>
      </c>
      <c r="K645" s="21" t="s">
        <v>23</v>
      </c>
      <c r="L645" s="21" t="s">
        <v>24</v>
      </c>
      <c r="M645" s="21" t="s">
        <v>1621</v>
      </c>
      <c r="N645" s="19">
        <v>92</v>
      </c>
      <c r="O645" s="19">
        <v>155</v>
      </c>
      <c r="P645" s="19">
        <v>123.5</v>
      </c>
      <c r="Q645" s="19">
        <v>52</v>
      </c>
      <c r="R645" s="22" t="str">
        <f>IF(Cleaned_DS_jobs!$Q645&lt;10,"little_age_company",IF(AND(Cleaned_DS_jobs!$Q645&gt;=10,Cleaned_DS_jobs!$Q645&lt;=20),"average_age_company","Big_age_company"))</f>
        <v>Big_age_company</v>
      </c>
    </row>
    <row r="646" spans="1:18" ht="19.95" customHeight="1" x14ac:dyDescent="0.3">
      <c r="A646" s="13" t="s">
        <v>26</v>
      </c>
      <c r="B646" s="14" t="s">
        <v>1732</v>
      </c>
      <c r="C646" s="14">
        <v>3.5</v>
      </c>
      <c r="D646" s="15" t="s">
        <v>2369</v>
      </c>
      <c r="E646" s="14" t="s">
        <v>29</v>
      </c>
      <c r="F646" s="16" t="s">
        <v>1840</v>
      </c>
      <c r="G646" s="16" t="s">
        <v>66</v>
      </c>
      <c r="H646" s="14">
        <v>1962</v>
      </c>
      <c r="I646" s="16" t="s">
        <v>32</v>
      </c>
      <c r="J646" s="16" t="s">
        <v>175</v>
      </c>
      <c r="K646" s="16" t="s">
        <v>175</v>
      </c>
      <c r="L646" s="16" t="s">
        <v>79</v>
      </c>
      <c r="M646" s="16" t="s">
        <v>1624</v>
      </c>
      <c r="N646" s="14">
        <v>92</v>
      </c>
      <c r="O646" s="14">
        <v>155</v>
      </c>
      <c r="P646" s="14">
        <v>123.5</v>
      </c>
      <c r="Q646" s="14">
        <v>64</v>
      </c>
      <c r="R646" s="17" t="str">
        <f>IF(Cleaned_DS_jobs!$Q646&lt;10,"little_age_company",IF(AND(Cleaned_DS_jobs!$Q646&gt;=10,Cleaned_DS_jobs!$Q646&lt;=20),"average_age_company","Big_age_company"))</f>
        <v>Big_age_company</v>
      </c>
    </row>
    <row r="647" spans="1:18" ht="19.95" customHeight="1" x14ac:dyDescent="0.3">
      <c r="A647" s="18" t="s">
        <v>1703</v>
      </c>
      <c r="B647" s="19" t="s">
        <v>1732</v>
      </c>
      <c r="C647" s="19">
        <v>4.0999999999999996</v>
      </c>
      <c r="D647" s="20" t="s">
        <v>2319</v>
      </c>
      <c r="E647" s="19" t="s">
        <v>258</v>
      </c>
      <c r="F647" s="21" t="s">
        <v>1953</v>
      </c>
      <c r="G647" s="21" t="s">
        <v>66</v>
      </c>
      <c r="H647" s="19">
        <v>1976</v>
      </c>
      <c r="I647" s="21" t="s">
        <v>32</v>
      </c>
      <c r="J647" s="21" t="s">
        <v>59</v>
      </c>
      <c r="K647" s="21" t="s">
        <v>60</v>
      </c>
      <c r="L647" s="21" t="s">
        <v>68</v>
      </c>
      <c r="M647" s="21" t="s">
        <v>1445</v>
      </c>
      <c r="N647" s="19">
        <v>92</v>
      </c>
      <c r="O647" s="19">
        <v>155</v>
      </c>
      <c r="P647" s="19">
        <v>123.5</v>
      </c>
      <c r="Q647" s="19">
        <v>50</v>
      </c>
      <c r="R647" s="22" t="str">
        <f>IF(Cleaned_DS_jobs!$Q647&lt;10,"little_age_company",IF(AND(Cleaned_DS_jobs!$Q647&gt;=10,Cleaned_DS_jobs!$Q647&lt;=20),"average_age_company","Big_age_company"))</f>
        <v>Big_age_company</v>
      </c>
    </row>
    <row r="648" spans="1:18" ht="19.95" customHeight="1" x14ac:dyDescent="0.3">
      <c r="A648" s="13" t="s">
        <v>26</v>
      </c>
      <c r="B648" s="14" t="s">
        <v>1732</v>
      </c>
      <c r="C648" s="14">
        <v>3.5</v>
      </c>
      <c r="D648" s="15" t="s">
        <v>2071</v>
      </c>
      <c r="E648" s="14" t="s">
        <v>30</v>
      </c>
      <c r="F648" s="16" t="s">
        <v>1815</v>
      </c>
      <c r="G648" s="16" t="s">
        <v>31</v>
      </c>
      <c r="H648" s="14">
        <v>-1</v>
      </c>
      <c r="I648" s="16" t="s">
        <v>32</v>
      </c>
      <c r="J648" s="16" t="s">
        <v>175</v>
      </c>
      <c r="K648" s="16" t="s">
        <v>175</v>
      </c>
      <c r="L648" s="16" t="s">
        <v>79</v>
      </c>
      <c r="M648" s="16">
        <v>-1</v>
      </c>
      <c r="N648" s="14">
        <v>92</v>
      </c>
      <c r="O648" s="14">
        <v>155</v>
      </c>
      <c r="P648" s="14">
        <v>123.5</v>
      </c>
      <c r="Q648" s="14">
        <v>-1</v>
      </c>
      <c r="R648" s="17" t="str">
        <f>IF(Cleaned_DS_jobs!$Q648&lt;10,"little_age_company",IF(AND(Cleaned_DS_jobs!$Q648&gt;=10,Cleaned_DS_jobs!$Q648&lt;=20),"average_age_company","Big_age_company"))</f>
        <v>little_age_company</v>
      </c>
    </row>
    <row r="649" spans="1:18" ht="19.95" customHeight="1" x14ac:dyDescent="0.3">
      <c r="A649" s="18" t="s">
        <v>1680</v>
      </c>
      <c r="B649" s="19" t="s">
        <v>1732</v>
      </c>
      <c r="C649" s="19">
        <v>3.9</v>
      </c>
      <c r="D649" s="20" t="s">
        <v>2139</v>
      </c>
      <c r="E649" s="19" t="s">
        <v>760</v>
      </c>
      <c r="F649" s="21" t="s">
        <v>1856</v>
      </c>
      <c r="G649" s="21" t="s">
        <v>20</v>
      </c>
      <c r="H649" s="19">
        <v>1947</v>
      </c>
      <c r="I649" s="21" t="s">
        <v>21</v>
      </c>
      <c r="J649" s="21" t="s">
        <v>33</v>
      </c>
      <c r="K649" s="21" t="s">
        <v>34</v>
      </c>
      <c r="L649" s="21" t="s">
        <v>101</v>
      </c>
      <c r="M649" s="21" t="s">
        <v>762</v>
      </c>
      <c r="N649" s="19">
        <v>92</v>
      </c>
      <c r="O649" s="19">
        <v>155</v>
      </c>
      <c r="P649" s="19">
        <v>123.5</v>
      </c>
      <c r="Q649" s="19">
        <v>79</v>
      </c>
      <c r="R649" s="22" t="str">
        <f>IF(Cleaned_DS_jobs!$Q649&lt;10,"little_age_company",IF(AND(Cleaned_DS_jobs!$Q649&gt;=10,Cleaned_DS_jobs!$Q649&lt;=20),"average_age_company","Big_age_company"))</f>
        <v>Big_age_company</v>
      </c>
    </row>
    <row r="650" spans="1:18" ht="19.95" customHeight="1" x14ac:dyDescent="0.3">
      <c r="A650" s="13" t="s">
        <v>26</v>
      </c>
      <c r="B650" s="14" t="s">
        <v>1732</v>
      </c>
      <c r="C650" s="14">
        <v>4.7</v>
      </c>
      <c r="D650" s="15" t="s">
        <v>2230</v>
      </c>
      <c r="E650" s="14" t="s">
        <v>1114</v>
      </c>
      <c r="F650" s="16" t="s">
        <v>1913</v>
      </c>
      <c r="G650" s="16" t="s">
        <v>52</v>
      </c>
      <c r="H650" s="14">
        <v>2008</v>
      </c>
      <c r="I650" s="16" t="s">
        <v>53</v>
      </c>
      <c r="J650" s="16" t="s">
        <v>40</v>
      </c>
      <c r="K650" s="16" t="s">
        <v>34</v>
      </c>
      <c r="L650" s="16" t="s">
        <v>24</v>
      </c>
      <c r="M650" s="16">
        <v>-1</v>
      </c>
      <c r="N650" s="14">
        <v>92</v>
      </c>
      <c r="O650" s="14">
        <v>155</v>
      </c>
      <c r="P650" s="14">
        <v>123.5</v>
      </c>
      <c r="Q650" s="14">
        <v>18</v>
      </c>
      <c r="R650" s="17" t="str">
        <f>IF(Cleaned_DS_jobs!$Q650&lt;10,"little_age_company",IF(AND(Cleaned_DS_jobs!$Q650&gt;=10,Cleaned_DS_jobs!$Q650&lt;=20),"average_age_company","Big_age_company"))</f>
        <v>average_age_company</v>
      </c>
    </row>
    <row r="651" spans="1:18" ht="19.95" customHeight="1" x14ac:dyDescent="0.3">
      <c r="A651" s="18" t="s">
        <v>756</v>
      </c>
      <c r="B651" s="19" t="s">
        <v>1732</v>
      </c>
      <c r="C651" s="19">
        <v>4.8</v>
      </c>
      <c r="D651" s="20" t="s">
        <v>2017</v>
      </c>
      <c r="E651" s="19" t="s">
        <v>38</v>
      </c>
      <c r="F651" s="21" t="s">
        <v>1746</v>
      </c>
      <c r="G651" s="21" t="s">
        <v>107</v>
      </c>
      <c r="H651" s="19">
        <v>2012</v>
      </c>
      <c r="I651" s="21" t="s">
        <v>53</v>
      </c>
      <c r="J651" s="21" t="s">
        <v>59</v>
      </c>
      <c r="K651" s="21" t="s">
        <v>60</v>
      </c>
      <c r="L651" s="21" t="s">
        <v>24</v>
      </c>
      <c r="M651" s="21">
        <v>-1</v>
      </c>
      <c r="N651" s="19">
        <v>92</v>
      </c>
      <c r="O651" s="19">
        <v>155</v>
      </c>
      <c r="P651" s="19">
        <v>123.5</v>
      </c>
      <c r="Q651" s="19">
        <v>14</v>
      </c>
      <c r="R651" s="22" t="str">
        <f>IF(Cleaned_DS_jobs!$Q651&lt;10,"little_age_company",IF(AND(Cleaned_DS_jobs!$Q651&gt;=10,Cleaned_DS_jobs!$Q651&lt;=20),"average_age_company","Big_age_company"))</f>
        <v>average_age_company</v>
      </c>
    </row>
    <row r="652" spans="1:18" ht="19.95" customHeight="1" x14ac:dyDescent="0.3">
      <c r="A652" s="13" t="s">
        <v>1412</v>
      </c>
      <c r="B652" s="14" t="s">
        <v>1732</v>
      </c>
      <c r="C652" s="14">
        <v>-1</v>
      </c>
      <c r="D652" s="15" t="s">
        <v>1414</v>
      </c>
      <c r="E652" s="14" t="s">
        <v>64</v>
      </c>
      <c r="F652" s="16">
        <v>-1</v>
      </c>
      <c r="G652" s="16" t="s">
        <v>1972</v>
      </c>
      <c r="H652" s="14">
        <v>-1</v>
      </c>
      <c r="I652" s="16" t="s">
        <v>1972</v>
      </c>
      <c r="J652" s="16" t="s">
        <v>1972</v>
      </c>
      <c r="K652" s="16" t="s">
        <v>1972</v>
      </c>
      <c r="L652" s="16" t="s">
        <v>1972</v>
      </c>
      <c r="M652" s="16">
        <v>-1</v>
      </c>
      <c r="N652" s="14">
        <v>92</v>
      </c>
      <c r="O652" s="14">
        <v>155</v>
      </c>
      <c r="P652" s="14">
        <v>123.5</v>
      </c>
      <c r="Q652" s="14">
        <v>-1</v>
      </c>
      <c r="R652" s="17" t="str">
        <f>IF(Cleaned_DS_jobs!$Q652&lt;10,"little_age_company",IF(AND(Cleaned_DS_jobs!$Q652&gt;=10,Cleaned_DS_jobs!$Q652&lt;=20),"average_age_company","Big_age_company"))</f>
        <v>little_age_company</v>
      </c>
    </row>
    <row r="653" spans="1:18" ht="19.95" customHeight="1" x14ac:dyDescent="0.3">
      <c r="A653" s="18" t="s">
        <v>1681</v>
      </c>
      <c r="B653" s="19" t="s">
        <v>1732</v>
      </c>
      <c r="C653" s="19">
        <v>4</v>
      </c>
      <c r="D653" s="20" t="s">
        <v>2047</v>
      </c>
      <c r="E653" s="19" t="s">
        <v>366</v>
      </c>
      <c r="F653" s="21" t="s">
        <v>1799</v>
      </c>
      <c r="G653" s="21" t="s">
        <v>66</v>
      </c>
      <c r="H653" s="19">
        <v>1913</v>
      </c>
      <c r="I653" s="21" t="s">
        <v>32</v>
      </c>
      <c r="J653" s="21" t="s">
        <v>67</v>
      </c>
      <c r="K653" s="21" t="s">
        <v>67</v>
      </c>
      <c r="L653" s="21" t="s">
        <v>68</v>
      </c>
      <c r="M653" s="21" t="s">
        <v>368</v>
      </c>
      <c r="N653" s="19">
        <v>92</v>
      </c>
      <c r="O653" s="19">
        <v>155</v>
      </c>
      <c r="P653" s="19">
        <v>123.5</v>
      </c>
      <c r="Q653" s="19">
        <v>113</v>
      </c>
      <c r="R653" s="22" t="str">
        <f>IF(Cleaned_DS_jobs!$Q653&lt;10,"little_age_company",IF(AND(Cleaned_DS_jobs!$Q653&gt;=10,Cleaned_DS_jobs!$Q653&lt;=20),"average_age_company","Big_age_company"))</f>
        <v>Big_age_company</v>
      </c>
    </row>
    <row r="654" spans="1:18" ht="19.95" customHeight="1" x14ac:dyDescent="0.3">
      <c r="A654" s="13" t="s">
        <v>240</v>
      </c>
      <c r="B654" s="14" t="s">
        <v>1733</v>
      </c>
      <c r="C654" s="14">
        <v>3.8</v>
      </c>
      <c r="D654" s="15" t="s">
        <v>2059</v>
      </c>
      <c r="E654" s="14" t="s">
        <v>420</v>
      </c>
      <c r="F654" s="16" t="s">
        <v>1807</v>
      </c>
      <c r="G654" s="16" t="s">
        <v>52</v>
      </c>
      <c r="H654" s="14">
        <v>2009</v>
      </c>
      <c r="I654" s="16" t="s">
        <v>53</v>
      </c>
      <c r="J654" s="16" t="s">
        <v>54</v>
      </c>
      <c r="K654" s="16" t="s">
        <v>34</v>
      </c>
      <c r="L654" s="16" t="s">
        <v>160</v>
      </c>
      <c r="M654" s="16" t="s">
        <v>421</v>
      </c>
      <c r="N654" s="14">
        <v>105</v>
      </c>
      <c r="O654" s="14">
        <v>167</v>
      </c>
      <c r="P654" s="14">
        <v>136</v>
      </c>
      <c r="Q654" s="14">
        <v>17</v>
      </c>
      <c r="R654" s="17" t="str">
        <f>IF(Cleaned_DS_jobs!$Q654&lt;10,"little_age_company",IF(AND(Cleaned_DS_jobs!$Q654&gt;=10,Cleaned_DS_jobs!$Q654&lt;=20),"average_age_company","Big_age_company"))</f>
        <v>average_age_company</v>
      </c>
    </row>
    <row r="655" spans="1:18" ht="19.95" customHeight="1" x14ac:dyDescent="0.3">
      <c r="A655" s="18" t="s">
        <v>1667</v>
      </c>
      <c r="B655" s="19" t="s">
        <v>1733</v>
      </c>
      <c r="C655" s="19">
        <v>3.8</v>
      </c>
      <c r="D655" s="20" t="s">
        <v>2080</v>
      </c>
      <c r="E655" s="19" t="s">
        <v>510</v>
      </c>
      <c r="F655" s="21" t="s">
        <v>1821</v>
      </c>
      <c r="G655" s="21" t="s">
        <v>31</v>
      </c>
      <c r="H655" s="19">
        <v>1996</v>
      </c>
      <c r="I655" s="21" t="s">
        <v>32</v>
      </c>
      <c r="J655" s="21" t="s">
        <v>512</v>
      </c>
      <c r="K655" s="21" t="s">
        <v>513</v>
      </c>
      <c r="L655" s="21" t="s">
        <v>79</v>
      </c>
      <c r="M655" s="21">
        <v>-1</v>
      </c>
      <c r="N655" s="19">
        <v>105</v>
      </c>
      <c r="O655" s="19">
        <v>167</v>
      </c>
      <c r="P655" s="19">
        <v>136</v>
      </c>
      <c r="Q655" s="19">
        <v>30</v>
      </c>
      <c r="R655" s="22" t="str">
        <f>IF(Cleaned_DS_jobs!$Q655&lt;10,"little_age_company",IF(AND(Cleaned_DS_jobs!$Q655&gt;=10,Cleaned_DS_jobs!$Q655&lt;=20),"average_age_company","Big_age_company"))</f>
        <v>Big_age_company</v>
      </c>
    </row>
    <row r="656" spans="1:18" ht="19.95" customHeight="1" x14ac:dyDescent="0.3">
      <c r="A656" s="13" t="s">
        <v>26</v>
      </c>
      <c r="B656" s="14" t="s">
        <v>1733</v>
      </c>
      <c r="C656" s="14">
        <v>2.7</v>
      </c>
      <c r="D656" s="15" t="s">
        <v>2310</v>
      </c>
      <c r="E656" s="14" t="s">
        <v>1411</v>
      </c>
      <c r="F656" s="16" t="s">
        <v>1773</v>
      </c>
      <c r="G656" s="16" t="s">
        <v>52</v>
      </c>
      <c r="H656" s="14">
        <v>2010</v>
      </c>
      <c r="I656" s="16" t="s">
        <v>32</v>
      </c>
      <c r="J656" s="16" t="s">
        <v>175</v>
      </c>
      <c r="K656" s="16" t="s">
        <v>175</v>
      </c>
      <c r="L656" s="16" t="s">
        <v>24</v>
      </c>
      <c r="M656" s="16">
        <v>-1</v>
      </c>
      <c r="N656" s="14">
        <v>105</v>
      </c>
      <c r="O656" s="14">
        <v>167</v>
      </c>
      <c r="P656" s="14">
        <v>136</v>
      </c>
      <c r="Q656" s="14">
        <v>16</v>
      </c>
      <c r="R656" s="17" t="str">
        <f>IF(Cleaned_DS_jobs!$Q656&lt;10,"little_age_company",IF(AND(Cleaned_DS_jobs!$Q656&gt;=10,Cleaned_DS_jobs!$Q656&lt;=20),"average_age_company","Big_age_company"))</f>
        <v>average_age_company</v>
      </c>
    </row>
    <row r="657" spans="1:18" ht="19.95" customHeight="1" x14ac:dyDescent="0.3">
      <c r="A657" s="18" t="s">
        <v>26</v>
      </c>
      <c r="B657" s="19" t="s">
        <v>1733</v>
      </c>
      <c r="C657" s="19">
        <v>4</v>
      </c>
      <c r="D657" s="20" t="s">
        <v>2311</v>
      </c>
      <c r="E657" s="19" t="s">
        <v>111</v>
      </c>
      <c r="F657" s="21" t="s">
        <v>1877</v>
      </c>
      <c r="G657" s="21" t="s">
        <v>52</v>
      </c>
      <c r="H657" s="19">
        <v>-1</v>
      </c>
      <c r="I657" s="21" t="s">
        <v>53</v>
      </c>
      <c r="J657" s="21" t="s">
        <v>1417</v>
      </c>
      <c r="K657" s="21" t="s">
        <v>1418</v>
      </c>
      <c r="L657" s="21" t="s">
        <v>403</v>
      </c>
      <c r="M657" s="21">
        <v>-1</v>
      </c>
      <c r="N657" s="19">
        <v>105</v>
      </c>
      <c r="O657" s="19">
        <v>167</v>
      </c>
      <c r="P657" s="19">
        <v>136</v>
      </c>
      <c r="Q657" s="19">
        <v>-1</v>
      </c>
      <c r="R657" s="22" t="str">
        <f>IF(Cleaned_DS_jobs!$Q657&lt;10,"little_age_company",IF(AND(Cleaned_DS_jobs!$Q657&gt;=10,Cleaned_DS_jobs!$Q657&lt;=20),"average_age_company","Big_age_company"))</f>
        <v>little_age_company</v>
      </c>
    </row>
    <row r="658" spans="1:18" ht="19.95" customHeight="1" x14ac:dyDescent="0.3">
      <c r="A658" s="13" t="s">
        <v>26</v>
      </c>
      <c r="B658" s="14" t="s">
        <v>1733</v>
      </c>
      <c r="C658" s="14">
        <v>-1</v>
      </c>
      <c r="D658" s="15" t="s">
        <v>1629</v>
      </c>
      <c r="E658" s="14" t="s">
        <v>722</v>
      </c>
      <c r="F658" s="16">
        <v>-1</v>
      </c>
      <c r="G658" s="16" t="s">
        <v>1972</v>
      </c>
      <c r="H658" s="14">
        <v>-1</v>
      </c>
      <c r="I658" s="16" t="s">
        <v>1972</v>
      </c>
      <c r="J658" s="16" t="s">
        <v>1972</v>
      </c>
      <c r="K658" s="16" t="s">
        <v>1972</v>
      </c>
      <c r="L658" s="16" t="s">
        <v>1972</v>
      </c>
      <c r="M658" s="16">
        <v>-1</v>
      </c>
      <c r="N658" s="14">
        <v>105</v>
      </c>
      <c r="O658" s="14">
        <v>167</v>
      </c>
      <c r="P658" s="14">
        <v>136</v>
      </c>
      <c r="Q658" s="14">
        <v>-1</v>
      </c>
      <c r="R658" s="17" t="str">
        <f>IF(Cleaned_DS_jobs!$Q658&lt;10,"little_age_company",IF(AND(Cleaned_DS_jobs!$Q658&gt;=10,Cleaned_DS_jobs!$Q658&lt;=20),"average_age_company","Big_age_company"))</f>
        <v>little_age_company</v>
      </c>
    </row>
    <row r="659" spans="1:18" ht="19.95" customHeight="1" x14ac:dyDescent="0.3">
      <c r="A659" s="18" t="s">
        <v>26</v>
      </c>
      <c r="B659" s="19" t="s">
        <v>1733</v>
      </c>
      <c r="C659" s="19">
        <v>-1</v>
      </c>
      <c r="D659" s="20" t="s">
        <v>1631</v>
      </c>
      <c r="E659" s="19" t="s">
        <v>1014</v>
      </c>
      <c r="F659" s="21">
        <v>-1</v>
      </c>
      <c r="G659" s="21" t="s">
        <v>1972</v>
      </c>
      <c r="H659" s="19">
        <v>-1</v>
      </c>
      <c r="I659" s="21" t="s">
        <v>1972</v>
      </c>
      <c r="J659" s="21" t="s">
        <v>1972</v>
      </c>
      <c r="K659" s="21" t="s">
        <v>1972</v>
      </c>
      <c r="L659" s="21" t="s">
        <v>1972</v>
      </c>
      <c r="M659" s="21">
        <v>-1</v>
      </c>
      <c r="N659" s="19">
        <v>105</v>
      </c>
      <c r="O659" s="19">
        <v>167</v>
      </c>
      <c r="P659" s="19">
        <v>136</v>
      </c>
      <c r="Q659" s="19">
        <v>-1</v>
      </c>
      <c r="R659" s="22" t="str">
        <f>IF(Cleaned_DS_jobs!$Q659&lt;10,"little_age_company",IF(AND(Cleaned_DS_jobs!$Q659&gt;=10,Cleaned_DS_jobs!$Q659&lt;=20),"average_age_company","Big_age_company"))</f>
        <v>little_age_company</v>
      </c>
    </row>
    <row r="660" spans="1:18" ht="19.95" customHeight="1" x14ac:dyDescent="0.3">
      <c r="A660" s="13" t="s">
        <v>26</v>
      </c>
      <c r="B660" s="14" t="s">
        <v>1733</v>
      </c>
      <c r="C660" s="14">
        <v>3.8</v>
      </c>
      <c r="D660" s="15" t="s">
        <v>2312</v>
      </c>
      <c r="E660" s="14" t="s">
        <v>111</v>
      </c>
      <c r="F660" s="16" t="s">
        <v>1840</v>
      </c>
      <c r="G660" s="16" t="s">
        <v>52</v>
      </c>
      <c r="H660" s="14">
        <v>2010</v>
      </c>
      <c r="I660" s="16" t="s">
        <v>32</v>
      </c>
      <c r="J660" s="16" t="s">
        <v>92</v>
      </c>
      <c r="K660" s="16" t="s">
        <v>60</v>
      </c>
      <c r="L660" s="16" t="s">
        <v>160</v>
      </c>
      <c r="M660" s="16">
        <v>-1</v>
      </c>
      <c r="N660" s="14">
        <v>105</v>
      </c>
      <c r="O660" s="14">
        <v>167</v>
      </c>
      <c r="P660" s="14">
        <v>136</v>
      </c>
      <c r="Q660" s="14">
        <v>16</v>
      </c>
      <c r="R660" s="17" t="str">
        <f>IF(Cleaned_DS_jobs!$Q660&lt;10,"little_age_company",IF(AND(Cleaned_DS_jobs!$Q660&gt;=10,Cleaned_DS_jobs!$Q660&lt;=20),"average_age_company","Big_age_company"))</f>
        <v>average_age_company</v>
      </c>
    </row>
    <row r="661" spans="1:18" ht="19.95" customHeight="1" x14ac:dyDescent="0.3">
      <c r="A661" s="18" t="s">
        <v>26</v>
      </c>
      <c r="B661" s="19" t="s">
        <v>1733</v>
      </c>
      <c r="C661" s="19">
        <v>3.2</v>
      </c>
      <c r="D661" s="20" t="s">
        <v>2232</v>
      </c>
      <c r="E661" s="19" t="s">
        <v>1122</v>
      </c>
      <c r="F661" s="21" t="s">
        <v>1773</v>
      </c>
      <c r="G661" s="21" t="s">
        <v>66</v>
      </c>
      <c r="H661" s="19">
        <v>2018</v>
      </c>
      <c r="I661" s="21" t="s">
        <v>32</v>
      </c>
      <c r="J661" s="21" t="s">
        <v>175</v>
      </c>
      <c r="K661" s="21" t="s">
        <v>175</v>
      </c>
      <c r="L661" s="21" t="s">
        <v>24</v>
      </c>
      <c r="M661" s="21">
        <v>-1</v>
      </c>
      <c r="N661" s="19">
        <v>105</v>
      </c>
      <c r="O661" s="19">
        <v>167</v>
      </c>
      <c r="P661" s="19">
        <v>136</v>
      </c>
      <c r="Q661" s="19">
        <v>8</v>
      </c>
      <c r="R661" s="22" t="str">
        <f>IF(Cleaned_DS_jobs!$Q661&lt;10,"little_age_company",IF(AND(Cleaned_DS_jobs!$Q661&gt;=10,Cleaned_DS_jobs!$Q661&lt;=20),"average_age_company","Big_age_company"))</f>
        <v>little_age_company</v>
      </c>
    </row>
    <row r="662" spans="1:18" ht="19.95" customHeight="1" x14ac:dyDescent="0.3">
      <c r="A662" s="13" t="s">
        <v>26</v>
      </c>
      <c r="B662" s="14" t="s">
        <v>1733</v>
      </c>
      <c r="C662" s="14">
        <v>-1</v>
      </c>
      <c r="D662" s="15" t="s">
        <v>1633</v>
      </c>
      <c r="E662" s="14" t="s">
        <v>1634</v>
      </c>
      <c r="F662" s="16">
        <v>-1</v>
      </c>
      <c r="G662" s="16" t="s">
        <v>1972</v>
      </c>
      <c r="H662" s="14">
        <v>-1</v>
      </c>
      <c r="I662" s="16" t="s">
        <v>1972</v>
      </c>
      <c r="J662" s="16" t="s">
        <v>1972</v>
      </c>
      <c r="K662" s="16" t="s">
        <v>1972</v>
      </c>
      <c r="L662" s="16" t="s">
        <v>1972</v>
      </c>
      <c r="M662" s="16">
        <v>-1</v>
      </c>
      <c r="N662" s="14">
        <v>105</v>
      </c>
      <c r="O662" s="14">
        <v>167</v>
      </c>
      <c r="P662" s="14">
        <v>136</v>
      </c>
      <c r="Q662" s="14">
        <v>-1</v>
      </c>
      <c r="R662" s="17" t="str">
        <f>IF(Cleaned_DS_jobs!$Q662&lt;10,"little_age_company",IF(AND(Cleaned_DS_jobs!$Q662&gt;=10,Cleaned_DS_jobs!$Q662&lt;=20),"average_age_company","Big_age_company"))</f>
        <v>little_age_company</v>
      </c>
    </row>
    <row r="663" spans="1:18" ht="19.95" customHeight="1" x14ac:dyDescent="0.3">
      <c r="A663" s="18" t="s">
        <v>26</v>
      </c>
      <c r="B663" s="19" t="s">
        <v>1733</v>
      </c>
      <c r="C663" s="19">
        <v>3.6</v>
      </c>
      <c r="D663" s="20" t="s">
        <v>2370</v>
      </c>
      <c r="E663" s="19" t="s">
        <v>1637</v>
      </c>
      <c r="F663" s="21" t="s">
        <v>1969</v>
      </c>
      <c r="G663" s="21" t="s">
        <v>66</v>
      </c>
      <c r="H663" s="19">
        <v>-1</v>
      </c>
      <c r="I663" s="21" t="s">
        <v>32</v>
      </c>
      <c r="J663" s="21" t="s">
        <v>961</v>
      </c>
      <c r="K663" s="21" t="s">
        <v>73</v>
      </c>
      <c r="L663" s="21" t="s">
        <v>24</v>
      </c>
      <c r="M663" s="21">
        <v>-1</v>
      </c>
      <c r="N663" s="19">
        <v>105</v>
      </c>
      <c r="O663" s="19">
        <v>167</v>
      </c>
      <c r="P663" s="19">
        <v>136</v>
      </c>
      <c r="Q663" s="19">
        <v>-1</v>
      </c>
      <c r="R663" s="22" t="str">
        <f>IF(Cleaned_DS_jobs!$Q663&lt;10,"little_age_company",IF(AND(Cleaned_DS_jobs!$Q663&gt;=10,Cleaned_DS_jobs!$Q663&lt;=20),"average_age_company","Big_age_company"))</f>
        <v>little_age_company</v>
      </c>
    </row>
    <row r="664" spans="1:18" ht="19.95" customHeight="1" x14ac:dyDescent="0.3">
      <c r="A664" s="13" t="s">
        <v>26</v>
      </c>
      <c r="B664" s="14" t="s">
        <v>1733</v>
      </c>
      <c r="C664" s="14">
        <v>4.4000000000000004</v>
      </c>
      <c r="D664" s="15" t="s">
        <v>2231</v>
      </c>
      <c r="E664" s="14" t="s">
        <v>1118</v>
      </c>
      <c r="F664" s="16" t="s">
        <v>1914</v>
      </c>
      <c r="G664" s="16" t="s">
        <v>52</v>
      </c>
      <c r="H664" s="14">
        <v>-1</v>
      </c>
      <c r="I664" s="16" t="s">
        <v>53</v>
      </c>
      <c r="J664" s="16" t="s">
        <v>1972</v>
      </c>
      <c r="K664" s="16" t="s">
        <v>1972</v>
      </c>
      <c r="L664" s="16" t="s">
        <v>24</v>
      </c>
      <c r="M664" s="16">
        <v>-1</v>
      </c>
      <c r="N664" s="14">
        <v>105</v>
      </c>
      <c r="O664" s="14">
        <v>167</v>
      </c>
      <c r="P664" s="14">
        <v>136</v>
      </c>
      <c r="Q664" s="14">
        <v>-1</v>
      </c>
      <c r="R664" s="17" t="str">
        <f>IF(Cleaned_DS_jobs!$Q664&lt;10,"little_age_company",IF(AND(Cleaned_DS_jobs!$Q664&gt;=10,Cleaned_DS_jobs!$Q664&lt;=20),"average_age_company","Big_age_company"))</f>
        <v>little_age_company</v>
      </c>
    </row>
    <row r="665" spans="1:18" ht="19.95" customHeight="1" x14ac:dyDescent="0.3">
      <c r="A665" s="18" t="s">
        <v>26</v>
      </c>
      <c r="B665" s="19" t="s">
        <v>1733</v>
      </c>
      <c r="C665" s="19">
        <v>4.0999999999999996</v>
      </c>
      <c r="D665" s="20" t="s">
        <v>2371</v>
      </c>
      <c r="E665" s="19" t="s">
        <v>1044</v>
      </c>
      <c r="F665" s="21" t="s">
        <v>1970</v>
      </c>
      <c r="G665" s="21" t="s">
        <v>46</v>
      </c>
      <c r="H665" s="19">
        <v>2004</v>
      </c>
      <c r="I665" s="21" t="s">
        <v>53</v>
      </c>
      <c r="J665" s="21" t="s">
        <v>286</v>
      </c>
      <c r="K665" s="21" t="s">
        <v>34</v>
      </c>
      <c r="L665" s="21" t="s">
        <v>24</v>
      </c>
      <c r="M665" s="21">
        <v>-1</v>
      </c>
      <c r="N665" s="19">
        <v>105</v>
      </c>
      <c r="O665" s="19">
        <v>167</v>
      </c>
      <c r="P665" s="19">
        <v>136</v>
      </c>
      <c r="Q665" s="19">
        <v>22</v>
      </c>
      <c r="R665" s="22" t="str">
        <f>IF(Cleaned_DS_jobs!$Q665&lt;10,"little_age_company",IF(AND(Cleaned_DS_jobs!$Q665&gt;=10,Cleaned_DS_jobs!$Q665&lt;=20),"average_age_company","Big_age_company"))</f>
        <v>Big_age_company</v>
      </c>
    </row>
    <row r="666" spans="1:18" ht="19.95" customHeight="1" x14ac:dyDescent="0.3">
      <c r="A666" s="13" t="s">
        <v>26</v>
      </c>
      <c r="B666" s="14" t="s">
        <v>1733</v>
      </c>
      <c r="C666" s="14">
        <v>-1</v>
      </c>
      <c r="D666" s="15" t="s">
        <v>1642</v>
      </c>
      <c r="E666" s="14" t="s">
        <v>1643</v>
      </c>
      <c r="F666" s="16" t="s">
        <v>1862</v>
      </c>
      <c r="G666" s="16" t="s">
        <v>117</v>
      </c>
      <c r="H666" s="14">
        <v>-1</v>
      </c>
      <c r="I666" s="16" t="s">
        <v>53</v>
      </c>
      <c r="J666" s="16" t="s">
        <v>1972</v>
      </c>
      <c r="K666" s="16" t="s">
        <v>1972</v>
      </c>
      <c r="L666" s="16" t="s">
        <v>24</v>
      </c>
      <c r="M666" s="16">
        <v>-1</v>
      </c>
      <c r="N666" s="14">
        <v>105</v>
      </c>
      <c r="O666" s="14">
        <v>167</v>
      </c>
      <c r="P666" s="14">
        <v>136</v>
      </c>
      <c r="Q666" s="14">
        <v>-1</v>
      </c>
      <c r="R666" s="17" t="str">
        <f>IF(Cleaned_DS_jobs!$Q666&lt;10,"little_age_company",IF(AND(Cleaned_DS_jobs!$Q666&gt;=10,Cleaned_DS_jobs!$Q666&lt;=20),"average_age_company","Big_age_company"))</f>
        <v>little_age_company</v>
      </c>
    </row>
    <row r="667" spans="1:18" ht="19.95" customHeight="1" x14ac:dyDescent="0.3">
      <c r="A667" s="18" t="s">
        <v>26</v>
      </c>
      <c r="B667" s="19" t="s">
        <v>1733</v>
      </c>
      <c r="C667" s="19">
        <v>3.8</v>
      </c>
      <c r="D667" s="20" t="s">
        <v>2372</v>
      </c>
      <c r="E667" s="19" t="s">
        <v>263</v>
      </c>
      <c r="F667" s="21" t="s">
        <v>1782</v>
      </c>
      <c r="G667" s="21" t="s">
        <v>107</v>
      </c>
      <c r="H667" s="19">
        <v>2005</v>
      </c>
      <c r="I667" s="21" t="s">
        <v>53</v>
      </c>
      <c r="J667" s="21" t="s">
        <v>92</v>
      </c>
      <c r="K667" s="21" t="s">
        <v>60</v>
      </c>
      <c r="L667" s="21" t="s">
        <v>194</v>
      </c>
      <c r="M667" s="21">
        <v>-1</v>
      </c>
      <c r="N667" s="19">
        <v>105</v>
      </c>
      <c r="O667" s="19">
        <v>167</v>
      </c>
      <c r="P667" s="19">
        <v>136</v>
      </c>
      <c r="Q667" s="19">
        <v>21</v>
      </c>
      <c r="R667" s="22" t="str">
        <f>IF(Cleaned_DS_jobs!$Q667&lt;10,"little_age_company",IF(AND(Cleaned_DS_jobs!$Q667&gt;=10,Cleaned_DS_jobs!$Q667&lt;=20),"average_age_company","Big_age_company"))</f>
        <v>Big_age_company</v>
      </c>
    </row>
    <row r="668" spans="1:18" ht="19.95" customHeight="1" x14ac:dyDescent="0.3">
      <c r="A668" s="13" t="s">
        <v>26</v>
      </c>
      <c r="B668" s="14" t="s">
        <v>1733</v>
      </c>
      <c r="C668" s="14">
        <v>4</v>
      </c>
      <c r="D668" s="15" t="s">
        <v>2373</v>
      </c>
      <c r="E668" s="14" t="s">
        <v>38</v>
      </c>
      <c r="F668" s="16" t="s">
        <v>1779</v>
      </c>
      <c r="G668" s="16" t="s">
        <v>20</v>
      </c>
      <c r="H668" s="14">
        <v>2010</v>
      </c>
      <c r="I668" s="16" t="s">
        <v>32</v>
      </c>
      <c r="J668" s="16" t="s">
        <v>67</v>
      </c>
      <c r="K668" s="16" t="s">
        <v>67</v>
      </c>
      <c r="L668" s="16" t="s">
        <v>41</v>
      </c>
      <c r="M668" s="16" t="s">
        <v>1648</v>
      </c>
      <c r="N668" s="14">
        <v>105</v>
      </c>
      <c r="O668" s="14">
        <v>167</v>
      </c>
      <c r="P668" s="14">
        <v>136</v>
      </c>
      <c r="Q668" s="14">
        <v>16</v>
      </c>
      <c r="R668" s="17" t="str">
        <f>IF(Cleaned_DS_jobs!$Q668&lt;10,"little_age_company",IF(AND(Cleaned_DS_jobs!$Q668&gt;=10,Cleaned_DS_jobs!$Q668&lt;=20),"average_age_company","Big_age_company"))</f>
        <v>average_age_company</v>
      </c>
    </row>
    <row r="669" spans="1:18" ht="19.95" customHeight="1" x14ac:dyDescent="0.3">
      <c r="A669" s="18" t="s">
        <v>26</v>
      </c>
      <c r="B669" s="19" t="s">
        <v>1733</v>
      </c>
      <c r="C669" s="19">
        <v>3.6</v>
      </c>
      <c r="D669" s="20" t="s">
        <v>2374</v>
      </c>
      <c r="E669" s="19" t="s">
        <v>1651</v>
      </c>
      <c r="F669" s="21" t="s">
        <v>1971</v>
      </c>
      <c r="G669" s="21" t="s">
        <v>20</v>
      </c>
      <c r="H669" s="19">
        <v>1989</v>
      </c>
      <c r="I669" s="21" t="s">
        <v>53</v>
      </c>
      <c r="J669" s="21" t="s">
        <v>54</v>
      </c>
      <c r="K669" s="21" t="s">
        <v>34</v>
      </c>
      <c r="L669" s="21" t="s">
        <v>24</v>
      </c>
      <c r="M669" s="21">
        <v>-1</v>
      </c>
      <c r="N669" s="19">
        <v>105</v>
      </c>
      <c r="O669" s="19">
        <v>167</v>
      </c>
      <c r="P669" s="19">
        <v>136</v>
      </c>
      <c r="Q669" s="19">
        <v>37</v>
      </c>
      <c r="R669" s="22" t="str">
        <f>IF(Cleaned_DS_jobs!$Q669&lt;10,"little_age_company",IF(AND(Cleaned_DS_jobs!$Q669&gt;=10,Cleaned_DS_jobs!$Q669&lt;=20),"average_age_company","Big_age_company"))</f>
        <v>Big_age_company</v>
      </c>
    </row>
    <row r="670" spans="1:18" ht="19.95" customHeight="1" x14ac:dyDescent="0.3">
      <c r="A670" s="13" t="s">
        <v>26</v>
      </c>
      <c r="B670" s="14" t="s">
        <v>1733</v>
      </c>
      <c r="C670" s="14">
        <v>-1</v>
      </c>
      <c r="D670" s="15" t="s">
        <v>1742</v>
      </c>
      <c r="E670" s="14" t="s">
        <v>143</v>
      </c>
      <c r="F670" s="16">
        <v>-1</v>
      </c>
      <c r="G670" s="16" t="s">
        <v>1972</v>
      </c>
      <c r="H670" s="14">
        <v>-1</v>
      </c>
      <c r="I670" s="16" t="s">
        <v>1972</v>
      </c>
      <c r="J670" s="16" t="s">
        <v>1972</v>
      </c>
      <c r="K670" s="16" t="s">
        <v>1972</v>
      </c>
      <c r="L670" s="16" t="s">
        <v>1972</v>
      </c>
      <c r="M670" s="16">
        <v>-1</v>
      </c>
      <c r="N670" s="14">
        <v>105</v>
      </c>
      <c r="O670" s="14">
        <v>167</v>
      </c>
      <c r="P670" s="14">
        <v>136</v>
      </c>
      <c r="Q670" s="14">
        <v>-1</v>
      </c>
      <c r="R670" s="17" t="str">
        <f>IF(Cleaned_DS_jobs!$Q670&lt;10,"little_age_company",IF(AND(Cleaned_DS_jobs!$Q670&gt;=10,Cleaned_DS_jobs!$Q670&lt;=20),"average_age_company","Big_age_company"))</f>
        <v>little_age_company</v>
      </c>
    </row>
    <row r="671" spans="1:18" ht="19.95" customHeight="1" x14ac:dyDescent="0.3">
      <c r="A671" s="18" t="s">
        <v>26</v>
      </c>
      <c r="B671" s="19" t="s">
        <v>1733</v>
      </c>
      <c r="C671" s="19">
        <v>-1</v>
      </c>
      <c r="D671" s="20" t="s">
        <v>1743</v>
      </c>
      <c r="E671" s="19" t="s">
        <v>1656</v>
      </c>
      <c r="F671" s="21">
        <v>-1</v>
      </c>
      <c r="G671" s="21" t="s">
        <v>1972</v>
      </c>
      <c r="H671" s="19">
        <v>-1</v>
      </c>
      <c r="I671" s="21" t="s">
        <v>1972</v>
      </c>
      <c r="J671" s="21" t="s">
        <v>1972</v>
      </c>
      <c r="K671" s="21" t="s">
        <v>1972</v>
      </c>
      <c r="L671" s="21" t="s">
        <v>1972</v>
      </c>
      <c r="M671" s="21">
        <v>-1</v>
      </c>
      <c r="N671" s="19">
        <v>105</v>
      </c>
      <c r="O671" s="19">
        <v>167</v>
      </c>
      <c r="P671" s="19">
        <v>136</v>
      </c>
      <c r="Q671" s="19">
        <v>-1</v>
      </c>
      <c r="R671" s="22" t="str">
        <f>IF(Cleaned_DS_jobs!$Q671&lt;10,"little_age_company",IF(AND(Cleaned_DS_jobs!$Q671&gt;=10,Cleaned_DS_jobs!$Q671&lt;=20),"average_age_company","Big_age_company"))</f>
        <v>little_age_company</v>
      </c>
    </row>
    <row r="672" spans="1:18" ht="19.95" customHeight="1" x14ac:dyDescent="0.3">
      <c r="A672" s="13" t="s">
        <v>26</v>
      </c>
      <c r="B672" s="14" t="s">
        <v>1733</v>
      </c>
      <c r="C672" s="14">
        <v>5</v>
      </c>
      <c r="D672" s="15" t="s">
        <v>2375</v>
      </c>
      <c r="E672" s="14" t="s">
        <v>143</v>
      </c>
      <c r="F672" s="16" t="s">
        <v>1781</v>
      </c>
      <c r="G672" s="16" t="s">
        <v>117</v>
      </c>
      <c r="H672" s="14">
        <v>-1</v>
      </c>
      <c r="I672" s="16" t="s">
        <v>53</v>
      </c>
      <c r="J672" s="16" t="s">
        <v>54</v>
      </c>
      <c r="K672" s="16" t="s">
        <v>34</v>
      </c>
      <c r="L672" s="16" t="s">
        <v>212</v>
      </c>
      <c r="M672" s="16">
        <v>-1</v>
      </c>
      <c r="N672" s="14">
        <v>105</v>
      </c>
      <c r="O672" s="14">
        <v>167</v>
      </c>
      <c r="P672" s="14">
        <v>136</v>
      </c>
      <c r="Q672" s="14">
        <v>-1</v>
      </c>
      <c r="R672" s="17" t="str">
        <f>IF(Cleaned_DS_jobs!$Q672&lt;10,"little_age_company",IF(AND(Cleaned_DS_jobs!$Q672&gt;=10,Cleaned_DS_jobs!$Q672&lt;=20),"average_age_company","Big_age_company"))</f>
        <v>little_age_company</v>
      </c>
    </row>
    <row r="673" spans="1:18" ht="19.95" customHeight="1" x14ac:dyDescent="0.3">
      <c r="A673" s="9" t="s">
        <v>26</v>
      </c>
      <c r="B673" s="7" t="s">
        <v>1733</v>
      </c>
      <c r="C673" s="7">
        <v>2.7</v>
      </c>
      <c r="D673" s="23" t="s">
        <v>2314</v>
      </c>
      <c r="E673" s="7" t="s">
        <v>19</v>
      </c>
      <c r="F673" s="24" t="s">
        <v>1952</v>
      </c>
      <c r="G673" s="24" t="s">
        <v>20</v>
      </c>
      <c r="H673" s="7">
        <v>1976</v>
      </c>
      <c r="I673" s="24" t="s">
        <v>32</v>
      </c>
      <c r="J673" s="24" t="s">
        <v>1431</v>
      </c>
      <c r="K673" s="24" t="s">
        <v>34</v>
      </c>
      <c r="L673" s="24" t="s">
        <v>35</v>
      </c>
      <c r="M673" s="24">
        <v>-1</v>
      </c>
      <c r="N673" s="7">
        <v>105</v>
      </c>
      <c r="O673" s="7">
        <v>167</v>
      </c>
      <c r="P673" s="7">
        <v>136</v>
      </c>
      <c r="Q673" s="7">
        <v>50</v>
      </c>
      <c r="R673" s="8" t="str">
        <f>IF(Cleaned_DS_jobs!$Q673&lt;10,"little_age_company",IF(AND(Cleaned_DS_jobs!$Q673&gt;=10,Cleaned_DS_jobs!$Q673&lt;=20),"average_age_company","Big_age_company"))</f>
        <v>Big_age_company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6623-5818-4FE8-8F93-FB9E059BEDEF}">
  <sheetPr>
    <tabColor rgb="FF0070C0"/>
  </sheetPr>
  <dimension ref="A22:D278"/>
  <sheetViews>
    <sheetView topLeftCell="A61" zoomScale="85" zoomScaleNormal="85" workbookViewId="0">
      <selection activeCell="F84" sqref="F84"/>
    </sheetView>
  </sheetViews>
  <sheetFormatPr defaultRowHeight="14.4" x14ac:dyDescent="0.3"/>
  <cols>
    <col min="1" max="1" width="32" bestFit="1" customWidth="1"/>
    <col min="2" max="2" width="19.6640625" bestFit="1" customWidth="1"/>
    <col min="3" max="3" width="13.33203125" bestFit="1" customWidth="1"/>
    <col min="4" max="4" width="15.33203125" bestFit="1" customWidth="1"/>
  </cols>
  <sheetData>
    <row r="22" spans="1:2" x14ac:dyDescent="0.3">
      <c r="A22" s="3" t="s">
        <v>12</v>
      </c>
      <c r="B22" t="s">
        <v>2386</v>
      </c>
    </row>
    <row r="23" spans="1:2" x14ac:dyDescent="0.3">
      <c r="A23" s="4" t="s">
        <v>1972</v>
      </c>
      <c r="B23" s="5">
        <v>129.66901408450704</v>
      </c>
    </row>
    <row r="24" spans="1:2" x14ac:dyDescent="0.3">
      <c r="A24" s="4" t="s">
        <v>1253</v>
      </c>
      <c r="B24" s="5">
        <v>124.66666666666667</v>
      </c>
    </row>
    <row r="25" spans="1:2" x14ac:dyDescent="0.3">
      <c r="A25" s="4" t="s">
        <v>175</v>
      </c>
      <c r="B25" s="5">
        <v>132.69565217391303</v>
      </c>
    </row>
    <row r="26" spans="1:2" x14ac:dyDescent="0.3">
      <c r="A26" s="4" t="s">
        <v>1057</v>
      </c>
      <c r="B26" s="5">
        <v>103.83333333333333</v>
      </c>
    </row>
    <row r="27" spans="1:2" x14ac:dyDescent="0.3">
      <c r="A27" s="4" t="s">
        <v>67</v>
      </c>
      <c r="B27" s="5">
        <v>122.87121212121212</v>
      </c>
    </row>
    <row r="28" spans="1:2" x14ac:dyDescent="0.3">
      <c r="A28" s="4" t="s">
        <v>34</v>
      </c>
      <c r="B28" s="5">
        <v>130.07916666666668</v>
      </c>
    </row>
    <row r="29" spans="1:2" x14ac:dyDescent="0.3">
      <c r="A29" s="4" t="s">
        <v>1351</v>
      </c>
      <c r="B29" s="5">
        <v>74.75</v>
      </c>
    </row>
    <row r="30" spans="1:2" x14ac:dyDescent="0.3">
      <c r="A30" s="4" t="s">
        <v>1418</v>
      </c>
      <c r="B30" s="5">
        <v>203.75</v>
      </c>
    </row>
    <row r="31" spans="1:2" x14ac:dyDescent="0.3">
      <c r="A31" s="4" t="s">
        <v>1069</v>
      </c>
      <c r="B31" s="5">
        <v>117.83333333333333</v>
      </c>
    </row>
    <row r="32" spans="1:2" x14ac:dyDescent="0.3">
      <c r="A32" s="4" t="s">
        <v>170</v>
      </c>
      <c r="B32" s="5">
        <v>115.5</v>
      </c>
    </row>
    <row r="33" spans="1:2" x14ac:dyDescent="0.3">
      <c r="A33" s="4" t="s">
        <v>98</v>
      </c>
      <c r="B33" s="5">
        <v>134.47058823529412</v>
      </c>
    </row>
    <row r="34" spans="1:2" x14ac:dyDescent="0.3">
      <c r="A34" s="4" t="s">
        <v>140</v>
      </c>
      <c r="B34" s="5">
        <v>119.76190476190476</v>
      </c>
    </row>
    <row r="35" spans="1:2" x14ac:dyDescent="0.3">
      <c r="A35" s="4" t="s">
        <v>60</v>
      </c>
      <c r="B35" s="5">
        <v>118.90957446808511</v>
      </c>
    </row>
    <row r="36" spans="1:2" x14ac:dyDescent="0.3">
      <c r="A36" s="4" t="s">
        <v>23</v>
      </c>
      <c r="B36" s="5">
        <v>111.28125</v>
      </c>
    </row>
    <row r="37" spans="1:2" x14ac:dyDescent="0.3">
      <c r="A37" s="4" t="s">
        <v>48</v>
      </c>
      <c r="B37" s="5">
        <v>123.23913043478261</v>
      </c>
    </row>
    <row r="38" spans="1:2" x14ac:dyDescent="0.3">
      <c r="A38" s="4" t="s">
        <v>469</v>
      </c>
      <c r="B38" s="5">
        <v>155.30000000000001</v>
      </c>
    </row>
    <row r="39" spans="1:2" x14ac:dyDescent="0.3">
      <c r="A39" s="4" t="s">
        <v>1343</v>
      </c>
      <c r="B39" s="5">
        <v>43.5</v>
      </c>
    </row>
    <row r="40" spans="1:2" x14ac:dyDescent="0.3">
      <c r="A40" s="4" t="s">
        <v>100</v>
      </c>
      <c r="B40" s="5">
        <v>101.3</v>
      </c>
    </row>
    <row r="41" spans="1:2" x14ac:dyDescent="0.3">
      <c r="A41" s="4" t="s">
        <v>614</v>
      </c>
      <c r="B41" s="5">
        <v>116.83333333333333</v>
      </c>
    </row>
    <row r="42" spans="1:2" x14ac:dyDescent="0.3">
      <c r="A42" s="4" t="s">
        <v>73</v>
      </c>
      <c r="B42" s="5">
        <v>150.14285714285714</v>
      </c>
    </row>
    <row r="43" spans="1:2" x14ac:dyDescent="0.3">
      <c r="A43" s="4" t="s">
        <v>513</v>
      </c>
      <c r="B43" s="5">
        <v>112.35714285714286</v>
      </c>
    </row>
    <row r="44" spans="1:2" x14ac:dyDescent="0.3">
      <c r="A44" s="4" t="s">
        <v>281</v>
      </c>
      <c r="B44" s="5">
        <v>117.75</v>
      </c>
    </row>
    <row r="45" spans="1:2" x14ac:dyDescent="0.3">
      <c r="A45" s="4" t="s">
        <v>968</v>
      </c>
      <c r="B45" s="5">
        <v>128.66666666666666</v>
      </c>
    </row>
    <row r="48" spans="1:2" x14ac:dyDescent="0.3">
      <c r="A48" s="3" t="s">
        <v>8</v>
      </c>
      <c r="B48" t="s">
        <v>2380</v>
      </c>
    </row>
    <row r="49" spans="1:2" x14ac:dyDescent="0.3">
      <c r="A49" s="4" t="s">
        <v>1972</v>
      </c>
      <c r="B49" s="5">
        <v>3531.5</v>
      </c>
    </row>
    <row r="50" spans="1:2" x14ac:dyDescent="0.3">
      <c r="A50" s="4" t="s">
        <v>117</v>
      </c>
      <c r="B50" s="5">
        <v>10319</v>
      </c>
    </row>
    <row r="51" spans="1:2" x14ac:dyDescent="0.3">
      <c r="A51" s="4" t="s">
        <v>66</v>
      </c>
      <c r="B51" s="5">
        <v>9798.5</v>
      </c>
    </row>
    <row r="52" spans="1:2" x14ac:dyDescent="0.3">
      <c r="A52" s="4" t="s">
        <v>20</v>
      </c>
      <c r="B52" s="5">
        <v>12662.5</v>
      </c>
    </row>
    <row r="53" spans="1:2" x14ac:dyDescent="0.3">
      <c r="A53" s="4" t="s">
        <v>107</v>
      </c>
      <c r="B53" s="5">
        <v>10112.5</v>
      </c>
    </row>
    <row r="54" spans="1:2" x14ac:dyDescent="0.3">
      <c r="A54" s="4" t="s">
        <v>31</v>
      </c>
      <c r="B54" s="5">
        <v>7726.5</v>
      </c>
    </row>
    <row r="55" spans="1:2" x14ac:dyDescent="0.3">
      <c r="A55" s="4" t="s">
        <v>46</v>
      </c>
      <c r="B55" s="5">
        <v>9312</v>
      </c>
    </row>
    <row r="56" spans="1:2" x14ac:dyDescent="0.3">
      <c r="A56" s="4" t="s">
        <v>52</v>
      </c>
      <c r="B56" s="5">
        <v>17202</v>
      </c>
    </row>
    <row r="57" spans="1:2" x14ac:dyDescent="0.3">
      <c r="A57" s="4" t="s">
        <v>688</v>
      </c>
      <c r="B57" s="5">
        <v>2437.5</v>
      </c>
    </row>
    <row r="61" spans="1:2" x14ac:dyDescent="0.3">
      <c r="A61" s="3" t="s">
        <v>2385</v>
      </c>
      <c r="B61" t="s">
        <v>2380</v>
      </c>
    </row>
    <row r="62" spans="1:2" x14ac:dyDescent="0.3">
      <c r="A62" s="4" t="s">
        <v>2382</v>
      </c>
      <c r="B62" s="5">
        <v>22390.5</v>
      </c>
    </row>
    <row r="63" spans="1:2" x14ac:dyDescent="0.3">
      <c r="A63" s="4" t="s">
        <v>2383</v>
      </c>
      <c r="B63" s="5">
        <v>42344.5</v>
      </c>
    </row>
    <row r="64" spans="1:2" x14ac:dyDescent="0.3">
      <c r="A64" s="4" t="s">
        <v>2384</v>
      </c>
      <c r="B64" s="5">
        <v>18367</v>
      </c>
    </row>
    <row r="78" spans="1:4" x14ac:dyDescent="0.3">
      <c r="A78" t="s">
        <v>2387</v>
      </c>
      <c r="B78" t="s">
        <v>2388</v>
      </c>
      <c r="C78" t="s">
        <v>2389</v>
      </c>
      <c r="D78" t="s">
        <v>2390</v>
      </c>
    </row>
    <row r="79" spans="1:4" x14ac:dyDescent="0.3">
      <c r="A79" s="6">
        <v>672</v>
      </c>
      <c r="B79" s="5">
        <v>123.66369047619048</v>
      </c>
      <c r="C79" s="6">
        <v>331</v>
      </c>
      <c r="D79" s="6">
        <v>31</v>
      </c>
    </row>
    <row r="176" spans="2:2" x14ac:dyDescent="0.3">
      <c r="B176" s="5"/>
    </row>
    <row r="177" spans="2:2" x14ac:dyDescent="0.3">
      <c r="B177" s="5"/>
    </row>
    <row r="178" spans="2:2" x14ac:dyDescent="0.3">
      <c r="B178" s="5"/>
    </row>
    <row r="179" spans="2:2" x14ac:dyDescent="0.3">
      <c r="B179" s="5"/>
    </row>
    <row r="180" spans="2:2" x14ac:dyDescent="0.3">
      <c r="B180" s="5"/>
    </row>
    <row r="181" spans="2:2" x14ac:dyDescent="0.3">
      <c r="B181" s="5"/>
    </row>
    <row r="182" spans="2:2" x14ac:dyDescent="0.3">
      <c r="B182" s="5"/>
    </row>
    <row r="183" spans="2:2" x14ac:dyDescent="0.3">
      <c r="B183" s="5"/>
    </row>
    <row r="184" spans="2:2" x14ac:dyDescent="0.3">
      <c r="B184" s="5"/>
    </row>
    <row r="185" spans="2:2" x14ac:dyDescent="0.3">
      <c r="B185" s="5"/>
    </row>
    <row r="186" spans="2:2" x14ac:dyDescent="0.3">
      <c r="B186" s="5"/>
    </row>
    <row r="187" spans="2:2" x14ac:dyDescent="0.3">
      <c r="B187" s="5"/>
    </row>
    <row r="188" spans="2:2" x14ac:dyDescent="0.3">
      <c r="B188" s="5"/>
    </row>
    <row r="189" spans="2:2" x14ac:dyDescent="0.3">
      <c r="B189" s="5"/>
    </row>
    <row r="190" spans="2:2" x14ac:dyDescent="0.3">
      <c r="B190" s="5"/>
    </row>
    <row r="191" spans="2:2" x14ac:dyDescent="0.3">
      <c r="B191" s="5"/>
    </row>
    <row r="192" spans="2:2" x14ac:dyDescent="0.3">
      <c r="B192" s="5"/>
    </row>
    <row r="193" spans="2:2" x14ac:dyDescent="0.3">
      <c r="B193" s="5"/>
    </row>
    <row r="194" spans="2:2" x14ac:dyDescent="0.3">
      <c r="B194" s="5"/>
    </row>
    <row r="195" spans="2:2" x14ac:dyDescent="0.3">
      <c r="B195" s="5"/>
    </row>
    <row r="196" spans="2:2" x14ac:dyDescent="0.3">
      <c r="B196" s="5"/>
    </row>
    <row r="197" spans="2:2" x14ac:dyDescent="0.3">
      <c r="B197" s="5"/>
    </row>
    <row r="198" spans="2:2" x14ac:dyDescent="0.3">
      <c r="B198" s="5"/>
    </row>
    <row r="199" spans="2:2" x14ac:dyDescent="0.3">
      <c r="B199" s="5"/>
    </row>
    <row r="200" spans="2:2" x14ac:dyDescent="0.3">
      <c r="B200" s="5"/>
    </row>
    <row r="201" spans="2:2" x14ac:dyDescent="0.3">
      <c r="B201" s="5"/>
    </row>
    <row r="202" spans="2:2" x14ac:dyDescent="0.3">
      <c r="B202" s="5"/>
    </row>
    <row r="203" spans="2:2" x14ac:dyDescent="0.3">
      <c r="B203" s="5"/>
    </row>
    <row r="204" spans="2:2" x14ac:dyDescent="0.3">
      <c r="B204" s="5"/>
    </row>
    <row r="205" spans="2:2" x14ac:dyDescent="0.3">
      <c r="B205" s="5"/>
    </row>
    <row r="206" spans="2:2" x14ac:dyDescent="0.3">
      <c r="B206" s="5"/>
    </row>
    <row r="207" spans="2:2" x14ac:dyDescent="0.3">
      <c r="B207" s="5"/>
    </row>
    <row r="208" spans="2:2" x14ac:dyDescent="0.3">
      <c r="B208" s="5"/>
    </row>
    <row r="209" spans="2:2" x14ac:dyDescent="0.3">
      <c r="B209" s="5"/>
    </row>
    <row r="210" spans="2:2" x14ac:dyDescent="0.3">
      <c r="B210" s="5"/>
    </row>
    <row r="211" spans="2:2" x14ac:dyDescent="0.3">
      <c r="B211" s="5"/>
    </row>
    <row r="212" spans="2:2" x14ac:dyDescent="0.3">
      <c r="B212" s="5"/>
    </row>
    <row r="213" spans="2:2" x14ac:dyDescent="0.3">
      <c r="B213" s="5"/>
    </row>
    <row r="214" spans="2:2" x14ac:dyDescent="0.3">
      <c r="B214" s="5"/>
    </row>
    <row r="215" spans="2:2" x14ac:dyDescent="0.3">
      <c r="B215" s="5"/>
    </row>
    <row r="216" spans="2:2" x14ac:dyDescent="0.3">
      <c r="B216" s="5"/>
    </row>
    <row r="217" spans="2:2" x14ac:dyDescent="0.3">
      <c r="B217" s="5"/>
    </row>
    <row r="218" spans="2:2" x14ac:dyDescent="0.3">
      <c r="B218" s="5"/>
    </row>
    <row r="219" spans="2:2" x14ac:dyDescent="0.3">
      <c r="B219" s="5"/>
    </row>
    <row r="220" spans="2:2" x14ac:dyDescent="0.3">
      <c r="B220" s="5"/>
    </row>
    <row r="221" spans="2:2" x14ac:dyDescent="0.3">
      <c r="B221" s="5"/>
    </row>
    <row r="222" spans="2:2" x14ac:dyDescent="0.3">
      <c r="B222" s="5"/>
    </row>
    <row r="223" spans="2:2" x14ac:dyDescent="0.3">
      <c r="B223" s="5"/>
    </row>
    <row r="224" spans="2:2" x14ac:dyDescent="0.3">
      <c r="B224" s="5"/>
    </row>
    <row r="225" spans="2:2" x14ac:dyDescent="0.3">
      <c r="B225" s="5"/>
    </row>
    <row r="226" spans="2:2" x14ac:dyDescent="0.3">
      <c r="B226" s="5"/>
    </row>
    <row r="227" spans="2:2" x14ac:dyDescent="0.3">
      <c r="B227" s="5"/>
    </row>
    <row r="228" spans="2:2" x14ac:dyDescent="0.3">
      <c r="B228" s="5"/>
    </row>
    <row r="229" spans="2:2" x14ac:dyDescent="0.3">
      <c r="B229" s="5"/>
    </row>
    <row r="230" spans="2:2" x14ac:dyDescent="0.3">
      <c r="B230" s="5"/>
    </row>
    <row r="231" spans="2:2" x14ac:dyDescent="0.3">
      <c r="B231" s="5"/>
    </row>
    <row r="232" spans="2:2" x14ac:dyDescent="0.3">
      <c r="B232" s="5"/>
    </row>
    <row r="233" spans="2:2" x14ac:dyDescent="0.3">
      <c r="B233" s="5"/>
    </row>
    <row r="234" spans="2:2" x14ac:dyDescent="0.3">
      <c r="B234" s="5"/>
    </row>
    <row r="235" spans="2:2" x14ac:dyDescent="0.3">
      <c r="B235" s="5"/>
    </row>
    <row r="236" spans="2:2" x14ac:dyDescent="0.3">
      <c r="B236" s="5"/>
    </row>
    <row r="237" spans="2:2" x14ac:dyDescent="0.3">
      <c r="B237" s="5"/>
    </row>
    <row r="238" spans="2:2" x14ac:dyDescent="0.3">
      <c r="B238" s="5"/>
    </row>
    <row r="239" spans="2:2" x14ac:dyDescent="0.3">
      <c r="B239" s="5"/>
    </row>
    <row r="240" spans="2:2" x14ac:dyDescent="0.3">
      <c r="B240" s="5"/>
    </row>
    <row r="241" spans="2:2" x14ac:dyDescent="0.3">
      <c r="B241" s="5"/>
    </row>
    <row r="242" spans="2:2" x14ac:dyDescent="0.3">
      <c r="B242" s="5"/>
    </row>
    <row r="243" spans="2:2" x14ac:dyDescent="0.3">
      <c r="B243" s="5"/>
    </row>
    <row r="244" spans="2:2" x14ac:dyDescent="0.3">
      <c r="B244" s="5"/>
    </row>
    <row r="245" spans="2:2" x14ac:dyDescent="0.3">
      <c r="B245" s="5"/>
    </row>
    <row r="246" spans="2:2" x14ac:dyDescent="0.3">
      <c r="B246" s="5"/>
    </row>
    <row r="247" spans="2:2" x14ac:dyDescent="0.3">
      <c r="B247" s="5"/>
    </row>
    <row r="248" spans="2:2" x14ac:dyDescent="0.3">
      <c r="B248" s="5"/>
    </row>
    <row r="249" spans="2:2" x14ac:dyDescent="0.3">
      <c r="B249" s="5"/>
    </row>
    <row r="250" spans="2:2" x14ac:dyDescent="0.3">
      <c r="B250" s="5"/>
    </row>
    <row r="251" spans="2:2" x14ac:dyDescent="0.3">
      <c r="B251" s="5"/>
    </row>
    <row r="252" spans="2:2" x14ac:dyDescent="0.3">
      <c r="B252" s="5"/>
    </row>
    <row r="253" spans="2:2" x14ac:dyDescent="0.3">
      <c r="B253" s="5"/>
    </row>
    <row r="254" spans="2:2" x14ac:dyDescent="0.3">
      <c r="B254" s="5"/>
    </row>
    <row r="255" spans="2:2" x14ac:dyDescent="0.3">
      <c r="B255" s="5"/>
    </row>
    <row r="256" spans="2:2" x14ac:dyDescent="0.3">
      <c r="B256" s="5"/>
    </row>
    <row r="257" spans="2:2" x14ac:dyDescent="0.3">
      <c r="B257" s="5"/>
    </row>
    <row r="258" spans="2:2" x14ac:dyDescent="0.3">
      <c r="B258" s="5"/>
    </row>
    <row r="259" spans="2:2" x14ac:dyDescent="0.3">
      <c r="B259" s="5"/>
    </row>
    <row r="260" spans="2:2" x14ac:dyDescent="0.3">
      <c r="B260" s="5"/>
    </row>
    <row r="261" spans="2:2" x14ac:dyDescent="0.3">
      <c r="B261" s="5"/>
    </row>
    <row r="262" spans="2:2" x14ac:dyDescent="0.3">
      <c r="B262" s="5"/>
    </row>
    <row r="263" spans="2:2" x14ac:dyDescent="0.3">
      <c r="B263" s="5"/>
    </row>
    <row r="264" spans="2:2" x14ac:dyDescent="0.3">
      <c r="B264" s="5"/>
    </row>
    <row r="265" spans="2:2" x14ac:dyDescent="0.3">
      <c r="B265" s="5"/>
    </row>
    <row r="266" spans="2:2" x14ac:dyDescent="0.3">
      <c r="B266" s="5"/>
    </row>
    <row r="267" spans="2:2" x14ac:dyDescent="0.3">
      <c r="B267" s="5"/>
    </row>
    <row r="268" spans="2:2" x14ac:dyDescent="0.3">
      <c r="B268" s="5"/>
    </row>
    <row r="269" spans="2:2" x14ac:dyDescent="0.3">
      <c r="B269" s="5"/>
    </row>
    <row r="270" spans="2:2" x14ac:dyDescent="0.3">
      <c r="B270" s="5"/>
    </row>
    <row r="271" spans="2:2" x14ac:dyDescent="0.3">
      <c r="B271" s="5"/>
    </row>
    <row r="272" spans="2:2" x14ac:dyDescent="0.3">
      <c r="B272" s="5"/>
    </row>
    <row r="273" spans="2:2" x14ac:dyDescent="0.3">
      <c r="B273" s="5"/>
    </row>
    <row r="274" spans="2:2" x14ac:dyDescent="0.3">
      <c r="B274" s="5"/>
    </row>
    <row r="275" spans="2:2" x14ac:dyDescent="0.3">
      <c r="B275" s="5"/>
    </row>
    <row r="276" spans="2:2" x14ac:dyDescent="0.3">
      <c r="B276" s="5"/>
    </row>
    <row r="277" spans="2:2" x14ac:dyDescent="0.3">
      <c r="B277" s="5"/>
    </row>
    <row r="278" spans="2:2" x14ac:dyDescent="0.3">
      <c r="B278" s="5"/>
    </row>
  </sheetData>
  <sortState xmlns:xlrd2="http://schemas.microsoft.com/office/spreadsheetml/2017/richdata2" ref="A176:C278">
    <sortCondition ref="B176:B27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3A90E-F27D-4774-B43F-8192BC5F16E6}">
  <sheetPr>
    <tabColor rgb="FF7030A0"/>
  </sheetPr>
  <dimension ref="A1"/>
  <sheetViews>
    <sheetView showGridLines="0" tabSelected="1" zoomScale="76" zoomScaleNormal="76" workbookViewId="0">
      <selection activeCell="G51" sqref="G51"/>
    </sheetView>
  </sheetViews>
  <sheetFormatPr defaultRowHeight="14.4" x14ac:dyDescent="0.3"/>
  <cols>
    <col min="1" max="16384" width="8.8867187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Uncleaned_DS_jobs</vt:lpstr>
      <vt:lpstr>Cleaned_DS_jobs</vt:lpstr>
      <vt:lpstr>Pivot 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Jasurbek Rahimov</cp:lastModifiedBy>
  <dcterms:created xsi:type="dcterms:W3CDTF">2026-06-26T17:02:27Z</dcterms:created>
  <dcterms:modified xsi:type="dcterms:W3CDTF">2026-06-28T05:26:15Z</dcterms:modified>
</cp:coreProperties>
</file>